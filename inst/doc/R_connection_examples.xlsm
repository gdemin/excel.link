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360" yWindow="75" windowWidth="16185" windowHeight="10935"/>
  </bookViews>
  <sheets>
    <sheet name="Data" sheetId="2" r:id="rId1"/>
    <sheet name="formula_example" sheetId="77" r:id="rId2"/>
    <sheet name="formula_graph_example" sheetId="78" r:id="rId3"/>
    <sheet name="code_summary" sheetId="18" r:id="rId4"/>
    <sheet name="code_regression" sheetId="4" r:id="rId5"/>
    <sheet name="code_clustering" sheetId="5" r:id="rId6"/>
  </sheets>
  <functionGroups builtInGroupCount="17"/>
  <definedNames>
    <definedName name="code_clustering" localSheetId="2">#REF!</definedName>
    <definedName name="code_clustering">code_clustering!$A$1:$A$23</definedName>
    <definedName name="code_regression" localSheetId="2">#REF!</definedName>
    <definedName name="code_regression">code_regression!$A$1:$A$20</definedName>
    <definedName name="code_summary" localSheetId="2">#REF!</definedName>
    <definedName name="code_summary">code_summary!$A$1:$A$21</definedName>
    <definedName name="counts" localSheetId="2">OFFSET(#REF!,0,0,COUNTA(#REF!),1)</definedName>
    <definedName name="counts">OFFSET(formula_example!$D$3,0,0,COUNTA(formula_example!$D$3:$D$100),1)</definedName>
    <definedName name="current_plot" localSheetId="2">formula_graph_example!$S$4</definedName>
    <definedName name="current_plot">#REF!</definedName>
    <definedName name="density" localSheetId="2">OFFSET(#REF!,0,0,COUNTA(#REF!),1)</definedName>
    <definedName name="density">OFFSET(formula_example!$E$3,0,0,COUNTA(formula_example!$E$3:$E$100),1)</definedName>
    <definedName name="mids" localSheetId="2">OFFSET(#REF!,0,0,COUNTA(#REF!),1)</definedName>
    <definedName name="mids">OFFSET(formula_example!$C$3,0,0,COUNTA(formula_example!$C$3:$C$100),1)</definedName>
    <definedName name="plots" localSheetId="2">formula_graph_example!$T$4:$T$6</definedName>
    <definedName name="plots">#REF!</definedName>
  </definedNames>
  <calcPr calcId="145621"/>
</workbook>
</file>

<file path=xl/calcChain.xml><?xml version="1.0" encoding="utf-8"?>
<calcChain xmlns="http://schemas.openxmlformats.org/spreadsheetml/2006/main">
  <c r="O13" i="78" l="1"/>
  <c r="O7" i="78"/>
  <c r="A2" i="77" l="1"/>
  <c r="Q3" i="77" l="1"/>
  <c r="Q2" i="77"/>
  <c r="J5" i="77"/>
  <c r="A3" i="5" l="1"/>
</calcChain>
</file>

<file path=xl/sharedStrings.xml><?xml version="1.0" encoding="utf-8"?>
<sst xmlns="http://schemas.openxmlformats.org/spreadsheetml/2006/main" count="177" uniqueCount="115">
  <si>
    <t>dev.off()</t>
  </si>
  <si>
    <t>mpg</t>
  </si>
  <si>
    <t>cyl</t>
  </si>
  <si>
    <t>disp</t>
  </si>
  <si>
    <t>hp</t>
  </si>
  <si>
    <t>drat</t>
  </si>
  <si>
    <t>wt</t>
  </si>
  <si>
    <t>qsec</t>
  </si>
  <si>
    <t>vs</t>
  </si>
  <si>
    <t>am</t>
  </si>
  <si>
    <t>gear</t>
  </si>
  <si>
    <t>carb</t>
  </si>
  <si>
    <t>Mazda RX4</t>
  </si>
  <si>
    <t>Mazda RX4 Wag</t>
  </si>
  <si>
    <t>Datsun 710</t>
  </si>
  <si>
    <t>Hornet 4 Drive</t>
  </si>
  <si>
    <t>Hornet Sportabout</t>
  </si>
  <si>
    <t>Valiant</t>
  </si>
  <si>
    <t>Duster 360</t>
  </si>
  <si>
    <t>Merc 240D</t>
  </si>
  <si>
    <t>Merc 230</t>
  </si>
  <si>
    <t>Merc 280</t>
  </si>
  <si>
    <t>Merc 280C</t>
  </si>
  <si>
    <t>Merc 450SE</t>
  </si>
  <si>
    <t>Merc 450SL</t>
  </si>
  <si>
    <t>Merc 450SLC</t>
  </si>
  <si>
    <t>Cadillac Fleetwood</t>
  </si>
  <si>
    <t>Lincoln Continental</t>
  </si>
  <si>
    <t>Chrysler Imperial</t>
  </si>
  <si>
    <t>Fiat 128</t>
  </si>
  <si>
    <t>Honda Civic</t>
  </si>
  <si>
    <t>Toyota Corolla</t>
  </si>
  <si>
    <t>Toyota Corona</t>
  </si>
  <si>
    <t>Dodge Challenger</t>
  </si>
  <si>
    <t>AMC Javelin</t>
  </si>
  <si>
    <t>Camaro Z28</t>
  </si>
  <si>
    <t>Pontiac Firebird</t>
  </si>
  <si>
    <t>Fiat X1-9</t>
  </si>
  <si>
    <t>Porsche 914-2</t>
  </si>
  <si>
    <t>Lotus Europa</t>
  </si>
  <si>
    <t>Ford Pantera L</t>
  </si>
  <si>
    <t>Ferrari Dino</t>
  </si>
  <si>
    <t>Maserati Bora</t>
  </si>
  <si>
    <t>Volvo 142E</t>
  </si>
  <si>
    <t># regression code</t>
  </si>
  <si>
    <t>dataset = xl.current.region("data!a1", col.names = TRUE, row.names = FALSE)</t>
  </si>
  <si>
    <t>frm = as.formula(paste0(dep_var," ~ ."))</t>
  </si>
  <si>
    <t>xl.sheet.add("Regression")</t>
  </si>
  <si>
    <t>regr = lm(frm, data = dataset[,-1])</t>
  </si>
  <si>
    <t>curr_sheets = xl.sheets()</t>
  </si>
  <si>
    <t>if ("regression" %in% tolower(curr_sheets)) xl.sheet.delete("Regression")</t>
  </si>
  <si>
    <t>plot(regr)</t>
  </si>
  <si>
    <t>to_excel = current.graphics(filename = "1.png")</t>
  </si>
  <si>
    <t>par(mfrow=c(2,2)) # we need all diagnostics on single plot</t>
  </si>
  <si>
    <t xml:space="preserve">    "R-square = " =  summary(regr)$r.squared,</t>
  </si>
  <si>
    <t>"Diagnostics",to_excel)</t>
  </si>
  <si>
    <t>xlrc["Regression!a1"] = res</t>
  </si>
  <si>
    <t>unlink("1.png")</t>
  </si>
  <si>
    <t>png("1.png", width = 800, height = 800) # plot to file, no graphics window</t>
  </si>
  <si>
    <t>Model</t>
  </si>
  <si>
    <t>res = list(</t>
  </si>
  <si>
    <t>pairs(dataset[,nums])</t>
  </si>
  <si>
    <t># summary code</t>
  </si>
  <si>
    <t>boxplot(dataset[,nums])</t>
  </si>
  <si>
    <t>to_excel1 = current.graphics(filename = "1.png")</t>
  </si>
  <si>
    <t>to_excel2 = current.graphics(filename = "2.png")</t>
  </si>
  <si>
    <t>"Summary",</t>
  </si>
  <si>
    <t>res, to_excel1, to_excel2)</t>
  </si>
  <si>
    <t>if ("summary" %in% tolower(curr_sheets)) xl.sheet.delete("summary")</t>
  </si>
  <si>
    <t>unlink("2.png")</t>
  </si>
  <si>
    <t>xlrc["'Summary'!a1"] = res</t>
  </si>
  <si>
    <t>nums = sapply(dataset,is.numeric) # pairs and boxplot doesn't work with characters</t>
  </si>
  <si>
    <t>xl.sheet.add("Summary")</t>
  </si>
  <si>
    <t>res = summary(dataset)</t>
  </si>
  <si>
    <t># clustering code</t>
  </si>
  <si>
    <t>xl.sheet.add("Clustering")</t>
  </si>
  <si>
    <t>if ("clustering" %in% tolower(curr_sheets)) xl.sheet.delete("Clustering")</t>
  </si>
  <si>
    <t>For listbox</t>
  </si>
  <si>
    <t>rownames(dataset) = dataset[,1] # set rownames to id variable</t>
  </si>
  <si>
    <t>clus = hclust(dist_matr)</t>
  </si>
  <si>
    <t>plot(clus)</t>
  </si>
  <si>
    <t>res)</t>
  </si>
  <si>
    <t>clusters = cutree(clus,clus_num)</t>
  </si>
  <si>
    <t>dist_matr = dist(scale(dataset[,nums]))</t>
  </si>
  <si>
    <t>xlc["'Clustering'!a1"] = list(</t>
  </si>
  <si>
    <t>res = data.frame(dataset[,1,drop = FALSE], Cluster = clusters)</t>
  </si>
  <si>
    <t>xlc["'Clustering'!d3"] = to_excel1 # dendrogramm</t>
  </si>
  <si>
    <t>dep_var = colnames(dataset)[2] # first column - id, second column - dependent column</t>
  </si>
  <si>
    <t>res = list("Linear regression",Coefficients= summary(regr)$coeff,</t>
  </si>
  <si>
    <t>"Hierarchical clustering",</t>
  </si>
  <si>
    <t>png("2.png", width = 800, height =800) # plot to file, no graphics window</t>
  </si>
  <si>
    <t>Mean:</t>
  </si>
  <si>
    <t>SD:</t>
  </si>
  <si>
    <t>mids</t>
  </si>
  <si>
    <t>counts</t>
  </si>
  <si>
    <t>density</t>
  </si>
  <si>
    <t xml:space="preserve"> xlc['formula_example!c2'] = with(hst,data.frame(mids,counts,density))</t>
  </si>
  <si>
    <t xml:space="preserve"> xl['formula_example!a3'] = res</t>
  </si>
  <si>
    <t>xlc["formula_example!c2:e200"] = NA # clear range</t>
  </si>
  <si>
    <t>Input -&gt;</t>
  </si>
  <si>
    <t>Formula -&gt;</t>
  </si>
  <si>
    <t>Output</t>
  </si>
  <si>
    <t>R code -&gt;</t>
  </si>
  <si>
    <t xml:space="preserve"> xl['formula_example!a3:a10100'] = NA # clear range</t>
  </si>
  <si>
    <t>N breaks (2-50):</t>
  </si>
  <si>
    <t>N (2-10000)</t>
  </si>
  <si>
    <t>Choose plot type -&gt;</t>
  </si>
  <si>
    <t># plot code</t>
  </si>
  <si>
    <t>boxplot</t>
  </si>
  <si>
    <t>plot</t>
  </si>
  <si>
    <t>stripchart</t>
  </si>
  <si>
    <t>dataset = xl.current.region("formula_graph_example!a1", col.names = TRUE, row.names = FALSE)</t>
  </si>
  <si>
    <t>to_excel1 = current.graphics(filename = "1.png", picname = "mtcars")</t>
  </si>
  <si>
    <t>png("1.png", width = 1024, height = 1024) # plot to file, no graphics window</t>
  </si>
  <si>
    <t>xl["'formula_graph_example'!c4"] = to_excel1</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</si>
</sst>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1"/>
      <color rgb="FF000000"/>
      <name val="Calibri"/>
      <family val="2"/>
      <charset val="204"/>
    </font>
    <font>
      <b/>
      <sz val="16"/>
      <color theme="1"/>
      <name val="Calibri"/>
      <family val="2"/>
      <charset val="204"/>
      <scheme val="minor"/>
    </font>
    <font>
      <sz val="8"/>
      <color rgb="FF000000"/>
      <name val="Tahoma"/>
      <family val="2"/>
      <charset val="204"/>
    </font>
    <font>
      <b/>
      <sz val="11"/>
      <name val="Calibri"/>
      <family val="2"/>
      <charset val="20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0" fillId="0" borderId="0" xfId="0" applyAlignment="1">
      <alignment horizontal="right"/>
    </xf>
    <xf numFmtId="0" fontId="16" fillId="0" borderId="0" xfId="0" applyFont="1"/>
    <xf numFmtId="0" fontId="19" fillId="0" borderId="0" xfId="0" applyFont="1"/>
    <xf numFmtId="0" fontId="11" fillId="6" borderId="4" xfId="11"/>
    <xf numFmtId="0" fontId="9" fillId="5" borderId="4" xfId="9"/>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662095780084135E-2"/>
          <c:y val="2.1683375491255669E-2"/>
          <c:w val="0.86311463576248826"/>
          <c:h val="0.79684348560079166"/>
        </c:manualLayout>
      </c:layout>
      <c:barChart>
        <c:barDir val="col"/>
        <c:grouping val="clustered"/>
        <c:varyColors val="0"/>
        <c:ser>
          <c:idx val="0"/>
          <c:order val="0"/>
          <c:tx>
            <c:strRef>
              <c:f>formula_example!$D$2</c:f>
              <c:strCache>
                <c:ptCount val="1"/>
                <c:pt idx="0">
                  <c:v>counts</c:v>
                </c:pt>
              </c:strCache>
            </c:strRef>
          </c:tx>
          <c:spPr>
            <a:solidFill>
              <a:schemeClr val="accent1">
                <a:lumMod val="60000"/>
                <a:lumOff val="40000"/>
              </a:schemeClr>
            </a:solidFill>
            <a:ln>
              <a:noFill/>
            </a:ln>
            <a:effectLst/>
          </c:spPr>
          <c:invertIfNegative val="0"/>
          <c:cat>
            <c:numRef>
              <c:f>[0]!mids</c:f>
              <c:numCache>
                <c:formatCode>General</c:formatCode>
                <c:ptCount val="11"/>
                <c:pt idx="0">
                  <c:v>-2.75</c:v>
                </c:pt>
                <c:pt idx="1">
                  <c:v>-2.25</c:v>
                </c:pt>
                <c:pt idx="2">
                  <c:v>-1.75</c:v>
                </c:pt>
                <c:pt idx="3">
                  <c:v>-1.25</c:v>
                </c:pt>
                <c:pt idx="4">
                  <c:v>-0.75</c:v>
                </c:pt>
                <c:pt idx="5">
                  <c:v>-0.25</c:v>
                </c:pt>
                <c:pt idx="6">
                  <c:v>0.25</c:v>
                </c:pt>
                <c:pt idx="7">
                  <c:v>0.75</c:v>
                </c:pt>
                <c:pt idx="8">
                  <c:v>1.25</c:v>
                </c:pt>
                <c:pt idx="9">
                  <c:v>1.75</c:v>
                </c:pt>
                <c:pt idx="10">
                  <c:v>2.25</c:v>
                </c:pt>
              </c:numCache>
            </c:numRef>
          </c:cat>
          <c:val>
            <c:numRef>
              <c:f>[0]!counts</c:f>
              <c:numCache>
                <c:formatCode>General</c:formatCode>
                <c:ptCount val="11"/>
                <c:pt idx="0">
                  <c:v>2</c:v>
                </c:pt>
                <c:pt idx="1">
                  <c:v>2</c:v>
                </c:pt>
                <c:pt idx="2">
                  <c:v>3</c:v>
                </c:pt>
                <c:pt idx="3">
                  <c:v>4</c:v>
                </c:pt>
                <c:pt idx="4">
                  <c:v>21</c:v>
                </c:pt>
                <c:pt idx="5">
                  <c:v>22</c:v>
                </c:pt>
                <c:pt idx="6">
                  <c:v>17</c:v>
                </c:pt>
                <c:pt idx="7">
                  <c:v>12</c:v>
                </c:pt>
                <c:pt idx="8">
                  <c:v>10</c:v>
                </c:pt>
                <c:pt idx="9">
                  <c:v>4</c:v>
                </c:pt>
                <c:pt idx="10">
                  <c:v>3</c:v>
                </c:pt>
              </c:numCache>
            </c:numRef>
          </c:val>
        </c:ser>
        <c:dLbls>
          <c:showLegendKey val="0"/>
          <c:showVal val="0"/>
          <c:showCatName val="0"/>
          <c:showSerName val="0"/>
          <c:showPercent val="0"/>
          <c:showBubbleSize val="0"/>
        </c:dLbls>
        <c:gapWidth val="18"/>
        <c:overlap val="-27"/>
        <c:axId val="77878016"/>
        <c:axId val="77879936"/>
      </c:barChart>
      <c:lineChart>
        <c:grouping val="standard"/>
        <c:varyColors val="0"/>
        <c:ser>
          <c:idx val="1"/>
          <c:order val="1"/>
          <c:tx>
            <c:v>density</c:v>
          </c:tx>
          <c:spPr>
            <a:ln w="25400"/>
            <a:effectLst/>
          </c:spPr>
          <c:marker>
            <c:symbol val="none"/>
          </c:marker>
          <c:val>
            <c:numRef>
              <c:f>[0]!density</c:f>
              <c:numCache>
                <c:formatCode>General</c:formatCode>
                <c:ptCount val="11"/>
                <c:pt idx="0">
                  <c:v>0.04</c:v>
                </c:pt>
                <c:pt idx="1">
                  <c:v>0.04</c:v>
                </c:pt>
                <c:pt idx="2">
                  <c:v>0.06</c:v>
                </c:pt>
                <c:pt idx="3">
                  <c:v>0.08</c:v>
                </c:pt>
                <c:pt idx="4">
                  <c:v>0.42</c:v>
                </c:pt>
                <c:pt idx="5">
                  <c:v>0.44</c:v>
                </c:pt>
                <c:pt idx="6">
                  <c:v>0.34</c:v>
                </c:pt>
                <c:pt idx="7">
                  <c:v>0.24</c:v>
                </c:pt>
                <c:pt idx="8">
                  <c:v>0.2</c:v>
                </c:pt>
                <c:pt idx="9">
                  <c:v>0.08</c:v>
                </c:pt>
                <c:pt idx="10">
                  <c:v>0.06</c:v>
                </c:pt>
              </c:numCache>
            </c:numRef>
          </c:val>
          <c:smooth val="1"/>
        </c:ser>
        <c:dLbls>
          <c:showLegendKey val="0"/>
          <c:showVal val="0"/>
          <c:showCatName val="0"/>
          <c:showSerName val="0"/>
          <c:showPercent val="0"/>
          <c:showBubbleSize val="0"/>
        </c:dLbls>
        <c:marker val="1"/>
        <c:smooth val="0"/>
        <c:axId val="84007936"/>
        <c:axId val="84005632"/>
      </c:lineChart>
      <c:catAx>
        <c:axId val="7787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7879936"/>
        <c:crosses val="autoZero"/>
        <c:auto val="1"/>
        <c:lblAlgn val="ctr"/>
        <c:lblOffset val="100"/>
        <c:noMultiLvlLbl val="0"/>
      </c:catAx>
      <c:valAx>
        <c:axId val="77879936"/>
        <c:scaling>
          <c:orientation val="minMax"/>
        </c:scaling>
        <c:delete val="0"/>
        <c:axPos val="l"/>
        <c:numFmt formatCode="General" sourceLinked="1"/>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7878016"/>
        <c:crosses val="autoZero"/>
        <c:crossBetween val="between"/>
      </c:valAx>
      <c:valAx>
        <c:axId val="84005632"/>
        <c:scaling>
          <c:orientation val="minMax"/>
          <c:min val="0"/>
        </c:scaling>
        <c:delete val="0"/>
        <c:axPos val="r"/>
        <c:numFmt formatCode="General" sourceLinked="1"/>
        <c:majorTickMark val="out"/>
        <c:minorTickMark val="none"/>
        <c:tickLblPos val="nextTo"/>
        <c:crossAx val="84007936"/>
        <c:crosses val="max"/>
        <c:crossBetween val="between"/>
      </c:valAx>
      <c:catAx>
        <c:axId val="84007936"/>
        <c:scaling>
          <c:orientation val="minMax"/>
        </c:scaling>
        <c:delete val="1"/>
        <c:axPos val="b"/>
        <c:majorTickMark val="out"/>
        <c:minorTickMark val="none"/>
        <c:tickLblPos val="nextTo"/>
        <c:crossAx val="840056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3" fmlaLink="code_clustering!$L$3" fmlaRange="code_clustering!$M$3:$M$12" noThreeD="1" sel="2" val="0"/>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33" fmlaLink="current_plot" fmlaRange="plots" noThreeD="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1</xdr:row>
          <xdr:rowOff>104775</xdr:rowOff>
        </xdr:from>
        <xdr:to>
          <xdr:col>15</xdr:col>
          <xdr:colOff>352425</xdr:colOff>
          <xdr:row>3</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xdr:row>
          <xdr:rowOff>95250</xdr:rowOff>
        </xdr:from>
        <xdr:to>
          <xdr:col>14</xdr:col>
          <xdr:colOff>66675</xdr:colOff>
          <xdr:row>3</xdr:row>
          <xdr:rowOff>104775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Summary</a:t>
              </a:r>
            </a:p>
            <a:p>
              <a:pPr algn="ctr" rtl="0">
                <a:defRPr sz="1000"/>
              </a:pPr>
              <a:endParaRPr lang="ru-RU"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423864</xdr:colOff>
          <xdr:row>1</xdr:row>
          <xdr:rowOff>133350</xdr:rowOff>
        </xdr:from>
        <xdr:to>
          <xdr:col>18</xdr:col>
          <xdr:colOff>142874</xdr:colOff>
          <xdr:row>3</xdr:row>
          <xdr:rowOff>95250</xdr:rowOff>
        </xdr:to>
        <xdr:grpSp>
          <xdr:nvGrpSpPr>
            <xdr:cNvPr id="2" name="Group 1"/>
            <xdr:cNvGrpSpPr/>
          </xdr:nvGrpSpPr>
          <xdr:grpSpPr>
            <a:xfrm>
              <a:off x="10634664" y="314325"/>
              <a:ext cx="1843085" cy="323850"/>
              <a:chOff x="11691933" y="309563"/>
              <a:chExt cx="1843081" cy="323850"/>
            </a:xfrm>
          </xdr:grpSpPr>
          <xdr:sp macro="" textlink="">
            <xdr:nvSpPr>
              <xdr:cNvPr id="1027" name="Drop Down 3" hidden="1">
                <a:extLst>
                  <a:ext uri="{63B3BB69-23CF-44E3-9099-C40C66FF867C}">
                    <a14:compatExt spid="_x0000_s1027"/>
                  </a:ext>
                </a:extLst>
              </xdr:cNvPr>
              <xdr:cNvSpPr/>
            </xdr:nvSpPr>
            <xdr:spPr>
              <a:xfrm>
                <a:off x="12820641" y="309563"/>
                <a:ext cx="714373" cy="276226"/>
              </a:xfrm>
              <a:prstGeom prst="rect">
                <a:avLst/>
              </a:prstGeom>
            </xdr:spPr>
          </xdr:sp>
          <xdr:sp macro="" textlink="">
            <xdr:nvSpPr>
              <xdr:cNvPr id="1028" name="Label 4" hidden="1">
                <a:extLst>
                  <a:ext uri="{63B3BB69-23CF-44E3-9099-C40C66FF867C}">
                    <a14:compatExt spid="_x0000_s1028"/>
                  </a:ext>
                </a:extLst>
              </xdr:cNvPr>
              <xdr:cNvSpPr/>
            </xdr:nvSpPr>
            <xdr:spPr>
              <a:xfrm>
                <a:off x="11691933" y="314325"/>
                <a:ext cx="1100138" cy="319088"/>
              </a:xfrm>
              <a:prstGeom prst="rect">
                <a:avLst/>
              </a:prstGeom>
            </xdr:spPr>
            <xdr:txBody>
              <a:bodyPr vertOverflow="clip" wrap="square" lIns="36576" tIns="27432" rIns="0" bIns="0" anchor="t" upright="1"/>
              <a:lstStyle/>
              <a:p>
                <a:pPr algn="l" rtl="0">
                  <a:defRPr sz="1000"/>
                </a:pPr>
                <a:r>
                  <a:rPr lang="ru-RU" sz="800" b="0" i="0" u="none" strike="noStrike" baseline="0">
                    <a:solidFill>
                      <a:srgbClr val="000000"/>
                    </a:solidFill>
                    <a:latin typeface="Tahoma"/>
                    <a:ea typeface="Tahoma"/>
                    <a:cs typeface="Tahoma"/>
                  </a:rPr>
                  <a:t>Number of clusters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1</xdr:row>
          <xdr:rowOff>104775</xdr:rowOff>
        </xdr:from>
        <xdr:to>
          <xdr:col>19</xdr:col>
          <xdr:colOff>495300</xdr:colOff>
          <xdr:row>3</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sesssionInfo</a:t>
              </a:r>
            </a:p>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xdr:twoCellAnchor>
    <xdr:from>
      <xdr:col>13</xdr:col>
      <xdr:colOff>19050</xdr:colOff>
      <xdr:row>5</xdr:row>
      <xdr:rowOff>166688</xdr:rowOff>
    </xdr:from>
    <xdr:to>
      <xdr:col>19</xdr:col>
      <xdr:colOff>214313</xdr:colOff>
      <xdr:row>32</xdr:row>
      <xdr:rowOff>19050</xdr:rowOff>
    </xdr:to>
    <xdr:sp macro="" textlink="">
      <xdr:nvSpPr>
        <xdr:cNvPr id="3" name="TextBox 2"/>
        <xdr:cNvSpPr txBox="1"/>
      </xdr:nvSpPr>
      <xdr:spPr>
        <a:xfrm>
          <a:off x="8934450" y="1071563"/>
          <a:ext cx="4262438" cy="4738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Toy examples. </a:t>
          </a:r>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This is mtcars dataset from R but you change it with you own data. First column of dataset considered as ID variable. Second column considered as dependent variable. </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Summary </a:t>
          </a:r>
          <a:r>
            <a:rPr lang="en-US" sz="1100">
              <a:solidFill>
                <a:schemeClr val="dk1"/>
              </a:solidFill>
              <a:effectLst/>
              <a:latin typeface="+mn-lt"/>
              <a:ea typeface="+mn-ea"/>
              <a:cs typeface="+mn-cs"/>
            </a:rPr>
            <a:t>creates summary worksheet: summary, boxplot and scatterplot.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Regression </a:t>
          </a:r>
          <a:r>
            <a:rPr lang="en-US" sz="1100">
              <a:solidFill>
                <a:schemeClr val="dk1"/>
              </a:solidFill>
              <a:effectLst/>
              <a:latin typeface="+mn-lt"/>
              <a:ea typeface="+mn-ea"/>
              <a:cs typeface="+mn-cs"/>
            </a:rPr>
            <a:t>calculates regression coefficients and build diagnostics plot.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To get cluster membership for each case and dendrogram change value in  </a:t>
          </a:r>
          <a:r>
            <a:rPr lang="en-US" sz="1100" b="1">
              <a:solidFill>
                <a:schemeClr val="dk1"/>
              </a:solidFill>
              <a:effectLst/>
              <a:latin typeface="+mn-lt"/>
              <a:ea typeface="+mn-ea"/>
              <a:cs typeface="+mn-cs"/>
            </a:rPr>
            <a:t>number of clusters combobox</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sessionInfo </a:t>
          </a:r>
          <a:r>
            <a:rPr lang="en-US" sz="1100">
              <a:solidFill>
                <a:schemeClr val="dk1"/>
              </a:solidFill>
              <a:effectLst/>
              <a:latin typeface="+mn-lt"/>
              <a:ea typeface="+mn-ea"/>
              <a:cs typeface="+mn-cs"/>
            </a:rPr>
            <a:t>gives information about current R setup.</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 code for these examples is provided on sheets with names starts with "code".  It</a:t>
          </a:r>
          <a:r>
            <a:rPr lang="en-US" sz="1100" baseline="0">
              <a:solidFill>
                <a:schemeClr val="dk1"/>
              </a:solidFill>
              <a:effectLst/>
              <a:latin typeface="+mn-lt"/>
              <a:ea typeface="+mn-ea"/>
              <a:cs typeface="+mn-cs"/>
            </a:rPr>
            <a:t> is possible to plot only to file graphic devices in these calls. </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There is </a:t>
          </a:r>
          <a:r>
            <a:rPr lang="en-US" sz="1100" b="1">
              <a:solidFill>
                <a:schemeClr val="dk1"/>
              </a:solidFill>
              <a:effectLst/>
              <a:latin typeface="+mn-lt"/>
              <a:ea typeface="+mn-ea"/>
              <a:cs typeface="+mn-cs"/>
            </a:rPr>
            <a:t>formula example </a:t>
          </a:r>
          <a:r>
            <a:rPr lang="en-US" sz="1100">
              <a:solidFill>
                <a:schemeClr val="dk1"/>
              </a:solidFill>
              <a:effectLst/>
              <a:latin typeface="+mn-lt"/>
              <a:ea typeface="+mn-ea"/>
              <a:cs typeface="+mn-cs"/>
            </a:rPr>
            <a:t>on the sheet with the same name. Values automatically recalculated in R after changes in precedent cells.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Sometimes second</a:t>
          </a:r>
          <a:r>
            <a:rPr lang="en-US" sz="1100" baseline="0">
              <a:solidFill>
                <a:schemeClr val="dk1"/>
              </a:solidFill>
              <a:effectLst/>
              <a:latin typeface="+mn-lt"/>
              <a:ea typeface="+mn-ea"/>
              <a:cs typeface="+mn-cs"/>
            </a:rPr>
            <a:t> hidden Excel instance is running in the background. This may cause problems with examples - R try to read and write data from/to that hidden instance. This problem rather rare occurs with Excel 2013. </a:t>
          </a:r>
          <a:endParaRPr lang="ru-RU" sz="1100">
            <a:solidFill>
              <a:schemeClr val="dk1"/>
            </a:solidFill>
            <a:effectLst/>
            <a:latin typeface="+mn-lt"/>
            <a:ea typeface="+mn-ea"/>
            <a:cs typeface="+mn-cs"/>
          </a:endParaRPr>
        </a:p>
        <a:p>
          <a:endParaRPr lang="en-US" sz="1100" b="0" baseline="0"/>
        </a:p>
        <a:p>
          <a:endParaRPr lang="ru-RU"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57149</xdr:colOff>
      <xdr:row>11</xdr:row>
      <xdr:rowOff>2379</xdr:rowOff>
    </xdr:from>
    <xdr:to>
      <xdr:col>14</xdr:col>
      <xdr:colOff>538163</xdr:colOff>
      <xdr:row>30</xdr:row>
      <xdr:rowOff>138113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242888</xdr:colOff>
      <xdr:row>10</xdr:row>
      <xdr:rowOff>176213</xdr:rowOff>
    </xdr:from>
    <xdr:to>
      <xdr:col>22</xdr:col>
      <xdr:colOff>109537</xdr:colOff>
      <xdr:row>30</xdr:row>
      <xdr:rowOff>95250</xdr:rowOff>
    </xdr:to>
    <xdr:sp macro="" textlink="">
      <xdr:nvSpPr>
        <xdr:cNvPr id="3" name="TextBox 2"/>
        <xdr:cNvSpPr txBox="1"/>
      </xdr:nvSpPr>
      <xdr:spPr>
        <a:xfrm>
          <a:off x="9253538" y="2071688"/>
          <a:ext cx="4662487" cy="3538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call via use</a:t>
          </a:r>
          <a:r>
            <a:rPr lang="en-US" sz="1100" baseline="0">
              <a:solidFill>
                <a:schemeClr val="dk1"/>
              </a:solidFill>
              <a:effectLst/>
              <a:latin typeface="+mn-lt"/>
              <a:ea typeface="+mn-ea"/>
              <a:cs typeface="+mn-cs"/>
            </a:rPr>
            <a:t>r </a:t>
          </a:r>
          <a:r>
            <a:rPr lang="en-US" sz="1100">
              <a:solidFill>
                <a:schemeClr val="dk1"/>
              </a:solidFill>
              <a:effectLst/>
              <a:latin typeface="+mn-lt"/>
              <a:ea typeface="+mn-ea"/>
              <a:cs typeface="+mn-cs"/>
            </a:rPr>
            <a:t>defined function (UDF). </a:t>
          </a:r>
          <a:endParaRPr lang="ru-RU">
            <a:effectLst/>
          </a:endParaRPr>
        </a:p>
        <a:p>
          <a:r>
            <a:rPr lang="en-US" sz="1100">
              <a:solidFill>
                <a:schemeClr val="dk1"/>
              </a:solidFill>
              <a:effectLst/>
              <a:latin typeface="+mn-lt"/>
              <a:ea typeface="+mn-ea"/>
              <a:cs typeface="+mn-cs"/>
            </a:rPr>
            <a:t>Try to change input cells. Random number will be regenerated</a:t>
          </a:r>
          <a:r>
            <a:rPr lang="en-US" sz="1100" baseline="0">
              <a:solidFill>
                <a:schemeClr val="dk1"/>
              </a:solidFill>
              <a:effectLst/>
              <a:latin typeface="+mn-lt"/>
              <a:ea typeface="+mn-ea"/>
              <a:cs typeface="+mn-cs"/>
            </a:rPr>
            <a:t> and data for histogramm will be updated.</a:t>
          </a:r>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p>
        <a:p>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214313</xdr:colOff>
          <xdr:row>1</xdr:row>
          <xdr:rowOff>133350</xdr:rowOff>
        </xdr:from>
        <xdr:to>
          <xdr:col>16</xdr:col>
          <xdr:colOff>561975</xdr:colOff>
          <xdr:row>3</xdr:row>
          <xdr:rowOff>76200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twoCellAnchor>
    <xdr:from>
      <xdr:col>13</xdr:col>
      <xdr:colOff>23810</xdr:colOff>
      <xdr:row>17</xdr:row>
      <xdr:rowOff>128586</xdr:rowOff>
    </xdr:from>
    <xdr:to>
      <xdr:col>20</xdr:col>
      <xdr:colOff>309562</xdr:colOff>
      <xdr:row>35</xdr:row>
      <xdr:rowOff>80962</xdr:rowOff>
    </xdr:to>
    <xdr:sp macro="" textlink="">
      <xdr:nvSpPr>
        <xdr:cNvPr id="3" name="TextBox 2"/>
        <xdr:cNvSpPr txBox="1"/>
      </xdr:nvSpPr>
      <xdr:spPr>
        <a:xfrm>
          <a:off x="7019923" y="3205161"/>
          <a:ext cx="5172077" cy="3209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graphics in Excel (works with excel.link</a:t>
          </a:r>
          <a:r>
            <a:rPr lang="en-US" sz="1100" baseline="0">
              <a:solidFill>
                <a:schemeClr val="dk1"/>
              </a:solidFill>
              <a:effectLst/>
              <a:latin typeface="+mn-lt"/>
              <a:ea typeface="+mn-ea"/>
              <a:cs typeface="+mn-cs"/>
            </a:rPr>
            <a:t> version&gt;=0.9)</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Try to change plot type or change data in the dataset. All these changes should be reflected on the R plot.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endParaRPr lang="ru-RU">
            <a:effectLst/>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solidFill>
              <a:schemeClr val="dk1"/>
            </a:solidFill>
            <a:effectLst/>
            <a:latin typeface="+mn-lt"/>
            <a:ea typeface="+mn-ea"/>
            <a:cs typeface="+mn-cs"/>
          </a:endParaRPr>
        </a:p>
      </xdr:txBody>
    </xdr:sp>
    <xdr:clientData/>
  </xdr:twoCellAnchor>
  <xdr:twoCellAnchor editAs="oneCell">
    <xdr:from>
      <xdr:col>2</xdr:col>
      <xdr:colOff>0</xdr:colOff>
      <xdr:row>3</xdr:row>
      <xdr:rowOff>0</xdr:rowOff>
    </xdr:from>
    <xdr:to>
      <xdr:col>12</xdr:col>
      <xdr:colOff>95250</xdr:colOff>
      <xdr:row>29</xdr:row>
      <xdr:rowOff>171450</xdr:rowOff>
    </xdr:to>
    <xdr:pic>
      <xdr:nvPicPr>
        <xdr:cNvPr id="8" name="_mtcar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66863" y="542925"/>
          <a:ext cx="4876800" cy="4876800"/>
        </a:xfrm>
        <a:prstGeom prst="rect">
          <a:avLst/>
        </a:prstGeom>
        <a:solidFill>
          <a:srgbClr val="FFFFFF"/>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3"/>
  <sheetViews>
    <sheetView tabSelected="1" workbookViewId="0">
      <pane xSplit="1" ySplit="1" topLeftCell="B2" activePane="bottomRight" state="frozen"/>
      <selection pane="topRight" activeCell="B1" sqref="B1"/>
      <selection pane="bottomLeft" activeCell="A2" sqref="A2"/>
      <selection pane="bottomRight" activeCell="I17" sqref="I17"/>
    </sheetView>
  </sheetViews>
  <sheetFormatPr defaultRowHeight="14.25" x14ac:dyDescent="0.45"/>
  <cols>
    <col min="1" max="1" width="16" bestFit="1" customWidth="1"/>
    <col min="16" max="16" width="11.59765625" customWidth="1"/>
  </cols>
  <sheetData>
    <row r="1" spans="1:12" x14ac:dyDescent="0.45">
      <c r="A1" s="2" t="s">
        <v>59</v>
      </c>
      <c r="B1" s="2" t="s">
        <v>1</v>
      </c>
      <c r="C1" s="2" t="s">
        <v>2</v>
      </c>
      <c r="D1" s="2" t="s">
        <v>3</v>
      </c>
      <c r="E1" s="2" t="s">
        <v>4</v>
      </c>
      <c r="F1" s="2" t="s">
        <v>5</v>
      </c>
      <c r="G1" s="2" t="s">
        <v>6</v>
      </c>
      <c r="H1" s="2" t="s">
        <v>7</v>
      </c>
      <c r="I1" s="2" t="s">
        <v>8</v>
      </c>
      <c r="J1" s="2" t="s">
        <v>9</v>
      </c>
      <c r="K1" s="2" t="s">
        <v>10</v>
      </c>
      <c r="L1" s="2" t="s">
        <v>11</v>
      </c>
    </row>
    <row r="2" spans="1:12" x14ac:dyDescent="0.45">
      <c r="A2" t="s">
        <v>12</v>
      </c>
      <c r="B2">
        <v>21</v>
      </c>
      <c r="C2">
        <v>6</v>
      </c>
      <c r="D2">
        <v>160</v>
      </c>
      <c r="E2">
        <v>110</v>
      </c>
      <c r="F2" s="1">
        <v>3.9</v>
      </c>
      <c r="G2" s="1">
        <v>2.62</v>
      </c>
      <c r="H2" s="1">
        <v>16.46</v>
      </c>
      <c r="I2" s="1">
        <v>0</v>
      </c>
      <c r="J2" s="1">
        <v>1</v>
      </c>
      <c r="K2" s="1">
        <v>4</v>
      </c>
      <c r="L2" s="1">
        <v>2</v>
      </c>
    </row>
    <row r="3" spans="1:12" x14ac:dyDescent="0.45">
      <c r="A3" t="s">
        <v>13</v>
      </c>
      <c r="B3">
        <v>21</v>
      </c>
      <c r="C3">
        <v>6</v>
      </c>
      <c r="D3">
        <v>160</v>
      </c>
      <c r="E3">
        <v>110</v>
      </c>
      <c r="F3" s="1">
        <v>3.9</v>
      </c>
      <c r="G3" s="1">
        <v>2.875</v>
      </c>
      <c r="H3" s="1">
        <v>17.02</v>
      </c>
      <c r="I3" s="1">
        <v>0</v>
      </c>
      <c r="J3" s="1">
        <v>1</v>
      </c>
      <c r="K3" s="1">
        <v>4</v>
      </c>
      <c r="L3" s="1">
        <v>4</v>
      </c>
    </row>
    <row r="4" spans="1:12" x14ac:dyDescent="0.45">
      <c r="A4" t="s">
        <v>14</v>
      </c>
      <c r="B4">
        <v>22.8</v>
      </c>
      <c r="C4">
        <v>4</v>
      </c>
      <c r="D4">
        <v>108</v>
      </c>
      <c r="E4">
        <v>93</v>
      </c>
      <c r="F4" s="1">
        <v>3.85</v>
      </c>
      <c r="G4" s="1">
        <v>2.3199999999999998</v>
      </c>
      <c r="H4" s="1">
        <v>18.61</v>
      </c>
      <c r="I4" s="1">
        <v>1</v>
      </c>
      <c r="J4" s="1">
        <v>1</v>
      </c>
      <c r="K4" s="1">
        <v>4</v>
      </c>
      <c r="L4" s="1">
        <v>1</v>
      </c>
    </row>
    <row r="5" spans="1:12" x14ac:dyDescent="0.45">
      <c r="A5" t="s">
        <v>15</v>
      </c>
      <c r="B5">
        <v>21.4</v>
      </c>
      <c r="C5">
        <v>6</v>
      </c>
      <c r="D5">
        <v>258</v>
      </c>
      <c r="E5">
        <v>110</v>
      </c>
      <c r="F5" s="1">
        <v>3.08</v>
      </c>
      <c r="G5" s="1">
        <v>3.2149999999999999</v>
      </c>
      <c r="H5" s="1">
        <v>19.440000000000001</v>
      </c>
      <c r="I5" s="1">
        <v>1</v>
      </c>
      <c r="J5" s="1">
        <v>0</v>
      </c>
      <c r="K5" s="1">
        <v>3</v>
      </c>
      <c r="L5" s="1">
        <v>1</v>
      </c>
    </row>
    <row r="6" spans="1:12" x14ac:dyDescent="0.45">
      <c r="A6" t="s">
        <v>16</v>
      </c>
      <c r="B6">
        <v>18.7</v>
      </c>
      <c r="C6">
        <v>8</v>
      </c>
      <c r="D6">
        <v>360</v>
      </c>
      <c r="E6">
        <v>175</v>
      </c>
      <c r="F6" s="1">
        <v>3.15</v>
      </c>
      <c r="G6" s="1">
        <v>3.44</v>
      </c>
      <c r="H6" s="1">
        <v>17.02</v>
      </c>
      <c r="I6" s="1">
        <v>0</v>
      </c>
      <c r="J6" s="1">
        <v>0</v>
      </c>
      <c r="K6" s="1">
        <v>3</v>
      </c>
      <c r="L6" s="1">
        <v>2</v>
      </c>
    </row>
    <row r="7" spans="1:12" x14ac:dyDescent="0.45">
      <c r="A7" t="s">
        <v>17</v>
      </c>
      <c r="B7">
        <v>18.100000000000001</v>
      </c>
      <c r="C7">
        <v>6</v>
      </c>
      <c r="D7">
        <v>225</v>
      </c>
      <c r="E7">
        <v>105</v>
      </c>
      <c r="F7" s="1">
        <v>2.76</v>
      </c>
      <c r="G7" s="1">
        <v>3.46</v>
      </c>
      <c r="H7" s="1">
        <v>20.22</v>
      </c>
      <c r="I7" s="1">
        <v>1</v>
      </c>
      <c r="J7" s="1">
        <v>0</v>
      </c>
      <c r="K7" s="1">
        <v>3</v>
      </c>
      <c r="L7" s="1">
        <v>1</v>
      </c>
    </row>
    <row r="8" spans="1:12" x14ac:dyDescent="0.45">
      <c r="A8" t="s">
        <v>18</v>
      </c>
      <c r="B8">
        <v>14.3</v>
      </c>
      <c r="C8">
        <v>8</v>
      </c>
      <c r="D8">
        <v>360</v>
      </c>
      <c r="E8">
        <v>245</v>
      </c>
      <c r="F8" s="1">
        <v>3.21</v>
      </c>
      <c r="G8" s="1">
        <v>3.57</v>
      </c>
      <c r="H8" s="1">
        <v>15.84</v>
      </c>
      <c r="I8" s="1">
        <v>0</v>
      </c>
      <c r="J8" s="1">
        <v>0</v>
      </c>
      <c r="K8" s="1">
        <v>3</v>
      </c>
      <c r="L8" s="1">
        <v>4</v>
      </c>
    </row>
    <row r="9" spans="1:12" x14ac:dyDescent="0.45">
      <c r="A9" t="s">
        <v>19</v>
      </c>
      <c r="B9">
        <v>24.4</v>
      </c>
      <c r="C9">
        <v>4</v>
      </c>
      <c r="D9">
        <v>146.69999999999999</v>
      </c>
      <c r="E9">
        <v>62</v>
      </c>
      <c r="F9" s="1">
        <v>3.69</v>
      </c>
      <c r="G9" s="1">
        <v>3.19</v>
      </c>
      <c r="H9" s="1">
        <v>20</v>
      </c>
      <c r="I9" s="1">
        <v>1</v>
      </c>
      <c r="J9" s="1">
        <v>0</v>
      </c>
      <c r="K9" s="1">
        <v>4</v>
      </c>
      <c r="L9" s="1">
        <v>2</v>
      </c>
    </row>
    <row r="10" spans="1:12" x14ac:dyDescent="0.45">
      <c r="A10" t="s">
        <v>20</v>
      </c>
      <c r="B10">
        <v>22.8</v>
      </c>
      <c r="C10">
        <v>4</v>
      </c>
      <c r="D10">
        <v>140.80000000000001</v>
      </c>
      <c r="E10">
        <v>95</v>
      </c>
      <c r="F10" s="1">
        <v>3.92</v>
      </c>
      <c r="G10" s="1">
        <v>3.15</v>
      </c>
      <c r="H10" s="1">
        <v>22.9</v>
      </c>
      <c r="I10" s="1">
        <v>1</v>
      </c>
      <c r="J10" s="1">
        <v>0</v>
      </c>
      <c r="K10" s="1">
        <v>4</v>
      </c>
      <c r="L10" s="1">
        <v>2</v>
      </c>
    </row>
    <row r="11" spans="1:12" x14ac:dyDescent="0.45">
      <c r="A11" t="s">
        <v>21</v>
      </c>
      <c r="B11">
        <v>19.2</v>
      </c>
      <c r="C11">
        <v>6</v>
      </c>
      <c r="D11">
        <v>167.6</v>
      </c>
      <c r="E11">
        <v>123</v>
      </c>
      <c r="F11" s="1">
        <v>3.92</v>
      </c>
      <c r="G11" s="1">
        <v>3.44</v>
      </c>
      <c r="H11" s="1">
        <v>18.3</v>
      </c>
      <c r="I11" s="1">
        <v>1</v>
      </c>
      <c r="J11" s="1">
        <v>0</v>
      </c>
      <c r="K11" s="1">
        <v>4</v>
      </c>
      <c r="L11" s="1">
        <v>4</v>
      </c>
    </row>
    <row r="12" spans="1:12" x14ac:dyDescent="0.45">
      <c r="A12" t="s">
        <v>22</v>
      </c>
      <c r="B12">
        <v>17.8</v>
      </c>
      <c r="C12">
        <v>6</v>
      </c>
      <c r="D12">
        <v>167.6</v>
      </c>
      <c r="E12">
        <v>123</v>
      </c>
      <c r="F12" s="1">
        <v>3.92</v>
      </c>
      <c r="G12" s="1">
        <v>3.44</v>
      </c>
      <c r="H12" s="1">
        <v>18.899999999999999</v>
      </c>
      <c r="I12" s="1">
        <v>1</v>
      </c>
      <c r="J12" s="1">
        <v>0</v>
      </c>
      <c r="K12" s="1">
        <v>4</v>
      </c>
      <c r="L12" s="1">
        <v>4</v>
      </c>
    </row>
    <row r="13" spans="1:12" x14ac:dyDescent="0.45">
      <c r="A13" t="s">
        <v>23</v>
      </c>
      <c r="B13" s="1">
        <v>16.399999999999999</v>
      </c>
      <c r="C13" s="1">
        <v>8</v>
      </c>
      <c r="D13" s="1">
        <v>275.8</v>
      </c>
      <c r="E13" s="1">
        <v>180</v>
      </c>
      <c r="F13" s="1">
        <v>3.07</v>
      </c>
      <c r="G13" s="1">
        <v>4.07</v>
      </c>
      <c r="H13" s="1">
        <v>17.399999999999999</v>
      </c>
      <c r="I13" s="1">
        <v>0</v>
      </c>
      <c r="J13" s="1">
        <v>0</v>
      </c>
      <c r="K13" s="1">
        <v>3</v>
      </c>
      <c r="L13" s="1">
        <v>3</v>
      </c>
    </row>
    <row r="14" spans="1:12" x14ac:dyDescent="0.45">
      <c r="A14" t="s">
        <v>24</v>
      </c>
      <c r="B14" s="1">
        <v>17.3</v>
      </c>
      <c r="C14" s="1">
        <v>8</v>
      </c>
      <c r="D14" s="1">
        <v>275.8</v>
      </c>
      <c r="E14" s="1">
        <v>180</v>
      </c>
      <c r="F14" s="1">
        <v>3.07</v>
      </c>
      <c r="G14" s="1">
        <v>3.73</v>
      </c>
      <c r="H14" s="1">
        <v>17.600000000000001</v>
      </c>
      <c r="I14" s="1">
        <v>0</v>
      </c>
      <c r="J14" s="1">
        <v>0</v>
      </c>
      <c r="K14" s="1">
        <v>3</v>
      </c>
      <c r="L14" s="1">
        <v>3</v>
      </c>
    </row>
    <row r="15" spans="1:12" x14ac:dyDescent="0.45">
      <c r="A15" t="s">
        <v>25</v>
      </c>
      <c r="B15" s="1">
        <v>15.2</v>
      </c>
      <c r="C15" s="1">
        <v>8</v>
      </c>
      <c r="D15" s="1">
        <v>275.8</v>
      </c>
      <c r="E15" s="1">
        <v>180</v>
      </c>
      <c r="F15" s="1">
        <v>3.07</v>
      </c>
      <c r="G15" s="1">
        <v>3.78</v>
      </c>
      <c r="H15" s="1">
        <v>18</v>
      </c>
      <c r="I15" s="1">
        <v>0</v>
      </c>
      <c r="J15" s="1">
        <v>0</v>
      </c>
      <c r="K15" s="1">
        <v>3</v>
      </c>
      <c r="L15" s="1">
        <v>3</v>
      </c>
    </row>
    <row r="16" spans="1:12" x14ac:dyDescent="0.45">
      <c r="A16" t="s">
        <v>26</v>
      </c>
      <c r="B16" s="1">
        <v>10.4</v>
      </c>
      <c r="C16" s="1">
        <v>8</v>
      </c>
      <c r="D16" s="1">
        <v>472</v>
      </c>
      <c r="E16" s="1">
        <v>205</v>
      </c>
      <c r="F16" s="1">
        <v>2.93</v>
      </c>
      <c r="G16" s="1">
        <v>5.25</v>
      </c>
      <c r="H16" s="1">
        <v>17.98</v>
      </c>
      <c r="I16" s="1">
        <v>0</v>
      </c>
      <c r="J16" s="1">
        <v>0</v>
      </c>
      <c r="K16" s="1">
        <v>3</v>
      </c>
      <c r="L16" s="1">
        <v>4</v>
      </c>
    </row>
    <row r="17" spans="1:12" x14ac:dyDescent="0.45">
      <c r="A17" t="s">
        <v>27</v>
      </c>
      <c r="B17" s="1">
        <v>10.4</v>
      </c>
      <c r="C17" s="1">
        <v>8</v>
      </c>
      <c r="D17" s="1">
        <v>460</v>
      </c>
      <c r="E17" s="1">
        <v>215</v>
      </c>
      <c r="F17" s="1">
        <v>3</v>
      </c>
      <c r="G17" s="1">
        <v>5.4240000000000004</v>
      </c>
      <c r="H17" s="1">
        <v>17.82</v>
      </c>
      <c r="I17" s="1">
        <v>0</v>
      </c>
      <c r="J17" s="1">
        <v>0</v>
      </c>
      <c r="K17" s="1">
        <v>3</v>
      </c>
      <c r="L17" s="1">
        <v>4</v>
      </c>
    </row>
    <row r="18" spans="1:12" x14ac:dyDescent="0.45">
      <c r="A18" t="s">
        <v>28</v>
      </c>
      <c r="B18" s="1">
        <v>14.7</v>
      </c>
      <c r="C18" s="1">
        <v>8</v>
      </c>
      <c r="D18" s="1">
        <v>440</v>
      </c>
      <c r="E18" s="1">
        <v>230</v>
      </c>
      <c r="F18" s="1">
        <v>3.23</v>
      </c>
      <c r="G18" s="1">
        <v>5.3449999999999998</v>
      </c>
      <c r="H18" s="1">
        <v>17.420000000000002</v>
      </c>
      <c r="I18" s="1">
        <v>0</v>
      </c>
      <c r="J18" s="1">
        <v>0</v>
      </c>
      <c r="K18" s="1">
        <v>3</v>
      </c>
      <c r="L18" s="1">
        <v>4</v>
      </c>
    </row>
    <row r="19" spans="1:12" x14ac:dyDescent="0.45">
      <c r="A19" t="s">
        <v>29</v>
      </c>
      <c r="B19" s="1">
        <v>32.4</v>
      </c>
      <c r="C19" s="1">
        <v>4</v>
      </c>
      <c r="D19" s="1">
        <v>78.7</v>
      </c>
      <c r="E19" s="1">
        <v>66</v>
      </c>
      <c r="F19" s="1">
        <v>4.08</v>
      </c>
      <c r="G19" s="1">
        <v>2.2000000000000002</v>
      </c>
      <c r="H19" s="1">
        <v>19.47</v>
      </c>
      <c r="I19" s="1">
        <v>1</v>
      </c>
      <c r="J19" s="1">
        <v>1</v>
      </c>
      <c r="K19" s="1">
        <v>4</v>
      </c>
      <c r="L19" s="1">
        <v>1</v>
      </c>
    </row>
    <row r="20" spans="1:12" x14ac:dyDescent="0.45">
      <c r="A20" t="s">
        <v>30</v>
      </c>
      <c r="B20" s="1">
        <v>30.4</v>
      </c>
      <c r="C20" s="1">
        <v>4</v>
      </c>
      <c r="D20" s="1">
        <v>75.7</v>
      </c>
      <c r="E20" s="1">
        <v>52</v>
      </c>
      <c r="F20" s="1">
        <v>4.93</v>
      </c>
      <c r="G20" s="1">
        <v>1.615</v>
      </c>
      <c r="H20" s="1">
        <v>18.52</v>
      </c>
      <c r="I20" s="1">
        <v>1</v>
      </c>
      <c r="J20" s="1">
        <v>1</v>
      </c>
      <c r="K20" s="1">
        <v>4</v>
      </c>
      <c r="L20" s="1">
        <v>2</v>
      </c>
    </row>
    <row r="21" spans="1:12" x14ac:dyDescent="0.45">
      <c r="A21" t="s">
        <v>31</v>
      </c>
      <c r="B21" s="1">
        <v>33.9</v>
      </c>
      <c r="C21" s="1">
        <v>4</v>
      </c>
      <c r="D21" s="1">
        <v>71.099999999999994</v>
      </c>
      <c r="E21" s="1">
        <v>65</v>
      </c>
      <c r="F21" s="1">
        <v>4.22</v>
      </c>
      <c r="G21" s="1">
        <v>1.835</v>
      </c>
      <c r="H21" s="1">
        <v>19.899999999999999</v>
      </c>
      <c r="I21" s="1">
        <v>1</v>
      </c>
      <c r="J21" s="1">
        <v>1</v>
      </c>
      <c r="K21" s="1">
        <v>4</v>
      </c>
      <c r="L21" s="1">
        <v>1</v>
      </c>
    </row>
    <row r="22" spans="1:12" x14ac:dyDescent="0.45">
      <c r="A22" t="s">
        <v>32</v>
      </c>
      <c r="B22" s="1">
        <v>21.5</v>
      </c>
      <c r="C22" s="1">
        <v>4</v>
      </c>
      <c r="D22" s="1">
        <v>120.1</v>
      </c>
      <c r="E22" s="1">
        <v>97</v>
      </c>
      <c r="F22" s="1">
        <v>3.7</v>
      </c>
      <c r="G22" s="1">
        <v>2.4649999999999999</v>
      </c>
      <c r="H22" s="1">
        <v>20.010000000000002</v>
      </c>
      <c r="I22" s="1">
        <v>1</v>
      </c>
      <c r="J22" s="1">
        <v>0</v>
      </c>
      <c r="K22" s="1">
        <v>3</v>
      </c>
      <c r="L22" s="1">
        <v>1</v>
      </c>
    </row>
    <row r="23" spans="1:12" x14ac:dyDescent="0.45">
      <c r="A23" t="s">
        <v>33</v>
      </c>
      <c r="B23" s="1">
        <v>15.5</v>
      </c>
      <c r="C23" s="1">
        <v>8</v>
      </c>
      <c r="D23" s="1">
        <v>318</v>
      </c>
      <c r="E23" s="1">
        <v>150</v>
      </c>
      <c r="F23" s="1">
        <v>2.76</v>
      </c>
      <c r="G23" s="1">
        <v>3.52</v>
      </c>
      <c r="H23" s="1">
        <v>16.87</v>
      </c>
      <c r="I23" s="1">
        <v>0</v>
      </c>
      <c r="J23" s="1">
        <v>0</v>
      </c>
      <c r="K23" s="1">
        <v>3</v>
      </c>
      <c r="L23" s="1">
        <v>2</v>
      </c>
    </row>
    <row r="24" spans="1:12" x14ac:dyDescent="0.45">
      <c r="A24" t="s">
        <v>34</v>
      </c>
      <c r="B24" s="1">
        <v>15.2</v>
      </c>
      <c r="C24" s="1">
        <v>8</v>
      </c>
      <c r="D24" s="1">
        <v>304</v>
      </c>
      <c r="E24" s="1">
        <v>150</v>
      </c>
      <c r="F24" s="1">
        <v>3.15</v>
      </c>
      <c r="G24" s="1">
        <v>3.4350000000000001</v>
      </c>
      <c r="H24" s="1">
        <v>17.3</v>
      </c>
      <c r="I24" s="1">
        <v>0</v>
      </c>
      <c r="J24" s="1">
        <v>0</v>
      </c>
      <c r="K24" s="1">
        <v>3</v>
      </c>
      <c r="L24" s="1">
        <v>2</v>
      </c>
    </row>
    <row r="25" spans="1:12" x14ac:dyDescent="0.45">
      <c r="A25" t="s">
        <v>35</v>
      </c>
      <c r="B25" s="1">
        <v>13.3</v>
      </c>
      <c r="C25" s="1">
        <v>8</v>
      </c>
      <c r="D25" s="1">
        <v>350</v>
      </c>
      <c r="E25" s="1">
        <v>245</v>
      </c>
      <c r="F25" s="1">
        <v>3.73</v>
      </c>
      <c r="G25" s="1">
        <v>3.84</v>
      </c>
      <c r="H25" s="1">
        <v>15.41</v>
      </c>
      <c r="I25" s="1">
        <v>0</v>
      </c>
      <c r="J25" s="1">
        <v>0</v>
      </c>
      <c r="K25" s="1">
        <v>3</v>
      </c>
      <c r="L25" s="1">
        <v>4</v>
      </c>
    </row>
    <row r="26" spans="1:12" x14ac:dyDescent="0.45">
      <c r="A26" t="s">
        <v>36</v>
      </c>
      <c r="B26" s="1">
        <v>19.2</v>
      </c>
      <c r="C26" s="1">
        <v>8</v>
      </c>
      <c r="D26" s="1">
        <v>400</v>
      </c>
      <c r="E26" s="1">
        <v>175</v>
      </c>
      <c r="F26" s="1">
        <v>3.08</v>
      </c>
      <c r="G26" s="1">
        <v>3.8450000000000002</v>
      </c>
      <c r="H26" s="1">
        <v>17.05</v>
      </c>
      <c r="I26" s="1">
        <v>0</v>
      </c>
      <c r="J26" s="1">
        <v>0</v>
      </c>
      <c r="K26" s="1">
        <v>3</v>
      </c>
      <c r="L26" s="1">
        <v>2</v>
      </c>
    </row>
    <row r="27" spans="1:12" x14ac:dyDescent="0.45">
      <c r="A27" t="s">
        <v>37</v>
      </c>
      <c r="B27" s="1">
        <v>27.3</v>
      </c>
      <c r="C27" s="1">
        <v>4</v>
      </c>
      <c r="D27" s="1">
        <v>79</v>
      </c>
      <c r="E27" s="1">
        <v>66</v>
      </c>
      <c r="F27" s="1">
        <v>4.08</v>
      </c>
      <c r="G27" s="1">
        <v>1.9350000000000001</v>
      </c>
      <c r="H27" s="1">
        <v>18.899999999999999</v>
      </c>
      <c r="I27" s="1">
        <v>1</v>
      </c>
      <c r="J27" s="1">
        <v>1</v>
      </c>
      <c r="K27" s="1">
        <v>4</v>
      </c>
      <c r="L27" s="1">
        <v>1</v>
      </c>
    </row>
    <row r="28" spans="1:12" ht="15" x14ac:dyDescent="0.25">
      <c r="A28" t="s">
        <v>38</v>
      </c>
      <c r="B28" s="1">
        <v>26</v>
      </c>
      <c r="C28" s="1">
        <v>4</v>
      </c>
      <c r="D28" s="1">
        <v>120.3</v>
      </c>
      <c r="E28" s="1">
        <v>91</v>
      </c>
      <c r="F28" s="1">
        <v>4.43</v>
      </c>
      <c r="G28" s="1">
        <v>2.14</v>
      </c>
      <c r="H28" s="1">
        <v>16.7</v>
      </c>
      <c r="I28" s="1">
        <v>0</v>
      </c>
      <c r="J28" s="1">
        <v>1</v>
      </c>
      <c r="K28" s="1">
        <v>5</v>
      </c>
      <c r="L28" s="1">
        <v>2</v>
      </c>
    </row>
    <row r="29" spans="1:12" ht="15" x14ac:dyDescent="0.25">
      <c r="A29" t="s">
        <v>39</v>
      </c>
      <c r="B29" s="1">
        <v>30.4</v>
      </c>
      <c r="C29" s="1">
        <v>4</v>
      </c>
      <c r="D29" s="1">
        <v>95.1</v>
      </c>
      <c r="E29" s="1">
        <v>113</v>
      </c>
      <c r="F29" s="1">
        <v>3.77</v>
      </c>
      <c r="G29" s="1">
        <v>1.5129999999999999</v>
      </c>
      <c r="H29" s="1">
        <v>16.899999999999999</v>
      </c>
      <c r="I29" s="1">
        <v>1</v>
      </c>
      <c r="J29" s="1">
        <v>1</v>
      </c>
      <c r="K29" s="1">
        <v>5</v>
      </c>
      <c r="L29" s="1">
        <v>2</v>
      </c>
    </row>
    <row r="30" spans="1:12" ht="15" x14ac:dyDescent="0.25">
      <c r="A30" t="s">
        <v>40</v>
      </c>
      <c r="B30" s="1">
        <v>15.8</v>
      </c>
      <c r="C30" s="1">
        <v>8</v>
      </c>
      <c r="D30" s="1">
        <v>351</v>
      </c>
      <c r="E30" s="1">
        <v>264</v>
      </c>
      <c r="F30" s="1">
        <v>4.22</v>
      </c>
      <c r="G30" s="1">
        <v>3.17</v>
      </c>
      <c r="H30" s="1">
        <v>14.5</v>
      </c>
      <c r="I30" s="1">
        <v>0</v>
      </c>
      <c r="J30" s="1">
        <v>1</v>
      </c>
      <c r="K30" s="1">
        <v>5</v>
      </c>
      <c r="L30" s="1">
        <v>4</v>
      </c>
    </row>
    <row r="31" spans="1:12" ht="15" x14ac:dyDescent="0.25">
      <c r="A31" t="s">
        <v>41</v>
      </c>
      <c r="B31" s="1">
        <v>19.7</v>
      </c>
      <c r="C31" s="1">
        <v>6</v>
      </c>
      <c r="D31" s="1">
        <v>145</v>
      </c>
      <c r="E31" s="1">
        <v>175</v>
      </c>
      <c r="F31" s="1">
        <v>3.62</v>
      </c>
      <c r="G31" s="1">
        <v>2.77</v>
      </c>
      <c r="H31" s="1">
        <v>15.5</v>
      </c>
      <c r="I31" s="1">
        <v>0</v>
      </c>
      <c r="J31" s="1">
        <v>1</v>
      </c>
      <c r="K31" s="1">
        <v>5</v>
      </c>
      <c r="L31" s="1">
        <v>6</v>
      </c>
    </row>
    <row r="32" spans="1:12" ht="15" x14ac:dyDescent="0.25">
      <c r="A32" t="s">
        <v>42</v>
      </c>
      <c r="B32" s="1">
        <v>15</v>
      </c>
      <c r="C32" s="1">
        <v>8</v>
      </c>
      <c r="D32" s="1">
        <v>301</v>
      </c>
      <c r="E32" s="1">
        <v>335</v>
      </c>
      <c r="F32" s="1">
        <v>3.54</v>
      </c>
      <c r="G32" s="1">
        <v>3.57</v>
      </c>
      <c r="H32" s="1">
        <v>14.6</v>
      </c>
      <c r="I32" s="1">
        <v>0</v>
      </c>
      <c r="J32" s="1">
        <v>1</v>
      </c>
      <c r="K32" s="1">
        <v>5</v>
      </c>
      <c r="L32" s="1">
        <v>8</v>
      </c>
    </row>
    <row r="33" spans="1:12" ht="15" x14ac:dyDescent="0.25">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gression">
                <anchor moveWithCells="1" sizeWithCells="1">
                  <from>
                    <xdr:col>14</xdr:col>
                    <xdr:colOff>114300</xdr:colOff>
                    <xdr:row>1</xdr:row>
                    <xdr:rowOff>104775</xdr:rowOff>
                  </from>
                  <to>
                    <xdr:col>15</xdr:col>
                    <xdr:colOff>352425</xdr:colOff>
                    <xdr:row>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mmary">
                <anchor moveWithCells="1" sizeWithCells="1">
                  <from>
                    <xdr:col>12</xdr:col>
                    <xdr:colOff>495300</xdr:colOff>
                    <xdr:row>1</xdr:row>
                    <xdr:rowOff>95250</xdr:rowOff>
                  </from>
                  <to>
                    <xdr:col>14</xdr:col>
                    <xdr:colOff>66675</xdr:colOff>
                    <xdr:row>3</xdr:row>
                    <xdr:rowOff>104775</xdr:rowOff>
                  </to>
                </anchor>
              </controlPr>
            </control>
          </mc:Choice>
        </mc:AlternateContent>
        <mc:AlternateContent xmlns:mc="http://schemas.openxmlformats.org/markup-compatibility/2006">
          <mc:Choice Requires="x14">
            <control shapeId="1027" r:id="rId6" name="Drop Down 3">
              <controlPr defaultSize="0" autoLine="0" autoPict="0" macro="[0]!Clustering">
                <anchor moveWithCells="1">
                  <from>
                    <xdr:col>17</xdr:col>
                    <xdr:colOff>76200</xdr:colOff>
                    <xdr:row>1</xdr:row>
                    <xdr:rowOff>133350</xdr:rowOff>
                  </from>
                  <to>
                    <xdr:col>18</xdr:col>
                    <xdr:colOff>142875</xdr:colOff>
                    <xdr:row>3</xdr:row>
                    <xdr:rowOff>47625</xdr:rowOff>
                  </to>
                </anchor>
              </controlPr>
            </control>
          </mc:Choice>
        </mc:AlternateContent>
        <mc:AlternateContent xmlns:mc="http://schemas.openxmlformats.org/markup-compatibility/2006">
          <mc:Choice Requires="x14">
            <control shapeId="1028" r:id="rId7" name="Label 4">
              <controlPr defaultSize="0" autoFill="0" autoLine="0" autoPict="0">
                <anchor moveWithCells="1" sizeWithCells="1">
                  <from>
                    <xdr:col>15</xdr:col>
                    <xdr:colOff>423863</xdr:colOff>
                    <xdr:row>1</xdr:row>
                    <xdr:rowOff>138113</xdr:rowOff>
                  </from>
                  <to>
                    <xdr:col>17</xdr:col>
                    <xdr:colOff>47625</xdr:colOff>
                    <xdr:row>3</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essionInfo">
                <anchor moveWithCells="1" sizeWithCells="1">
                  <from>
                    <xdr:col>18</xdr:col>
                    <xdr:colOff>257175</xdr:colOff>
                    <xdr:row>1</xdr:row>
                    <xdr:rowOff>104775</xdr:rowOff>
                  </from>
                  <to>
                    <xdr:col>19</xdr:col>
                    <xdr:colOff>495300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2"/>
  <sheetViews>
    <sheetView workbookViewId="0">
      <selection activeCell="P2" sqref="P2"/>
    </sheetView>
  </sheetViews>
  <sheetFormatPr defaultRowHeight="14.25" x14ac:dyDescent="0.45"/>
  <cols>
    <col min="3" max="3" width="10.59765625" customWidth="1"/>
    <col min="6" max="6" width="7.265625" customWidth="1"/>
    <col min="7" max="7" width="1.59765625" customWidth="1"/>
    <col min="8" max="8" width="5.265625" customWidth="1"/>
    <col min="9" max="9" width="10.73046875" customWidth="1"/>
    <col min="16" max="16" width="12.73046875" customWidth="1"/>
  </cols>
  <sheetData>
    <row r="1" spans="1:19" ht="21" x14ac:dyDescent="0.65">
      <c r="A1" s="3" t="s">
        <v>101</v>
      </c>
      <c r="C1" s="2"/>
      <c r="J1" s="2"/>
      <c r="Q1" s="2"/>
      <c r="S1" s="6"/>
    </row>
    <row r="2" spans="1:19" x14ac:dyDescent="0.45">
      <c r="A2" s="2" t="str">
        <f>"rnorm(" &amp;L3 &amp;"," &amp; J3 &amp; "," &amp; K3 &amp; ")"</f>
        <v>rnorm(100,0,1)</v>
      </c>
      <c r="C2" s="2" t="s">
        <v>93</v>
      </c>
      <c r="D2" s="2" t="s">
        <v>94</v>
      </c>
      <c r="E2" s="2" t="s">
        <v>95</v>
      </c>
      <c r="J2" t="s">
        <v>91</v>
      </c>
      <c r="K2" t="s">
        <v>92</v>
      </c>
      <c r="L2" t="s">
        <v>105</v>
      </c>
      <c r="M2" t="s">
        <v>104</v>
      </c>
      <c r="P2" s="2" t="s">
        <v>102</v>
      </c>
      <c r="Q2" t="str">
        <f xml:space="preserve"> "res = " &amp; A2</f>
        <v>res = rnorm(100,0,1)</v>
      </c>
    </row>
    <row r="3" spans="1:19" x14ac:dyDescent="0.45">
      <c r="A3">
        <v>-1.6857584336979798</v>
      </c>
      <c r="C3">
        <v>-2.75</v>
      </c>
      <c r="D3">
        <v>2</v>
      </c>
      <c r="E3">
        <v>0.04</v>
      </c>
      <c r="I3" s="2" t="s">
        <v>99</v>
      </c>
      <c r="J3" s="5">
        <v>0</v>
      </c>
      <c r="K3" s="5">
        <v>1</v>
      </c>
      <c r="L3" s="5">
        <v>100</v>
      </c>
      <c r="M3" s="5">
        <v>10</v>
      </c>
      <c r="Q3" t="str">
        <f xml:space="preserve"> "hst= hist(res, n = " &amp; M3 &amp; ", plot = FALSE)"</f>
        <v>hst= hist(res, n = 10, plot = FALSE)</v>
      </c>
    </row>
    <row r="4" spans="1:19" x14ac:dyDescent="0.45">
      <c r="A4">
        <v>-1.1160710461738712</v>
      </c>
      <c r="C4">
        <v>-2.25</v>
      </c>
      <c r="D4">
        <v>2</v>
      </c>
      <c r="E4">
        <v>0.04</v>
      </c>
      <c r="Q4" t="s">
        <v>103</v>
      </c>
    </row>
    <row r="5" spans="1:19" x14ac:dyDescent="0.45">
      <c r="A5">
        <v>-0.73860071376258718</v>
      </c>
      <c r="C5">
        <v>-1.75</v>
      </c>
      <c r="D5">
        <v>3</v>
      </c>
      <c r="E5">
        <v>0.06</v>
      </c>
      <c r="I5" s="2" t="s">
        <v>100</v>
      </c>
      <c r="J5" s="4" t="str">
        <f>RExec(Q2:Q7)</f>
        <v>#RExec# 0.5924582</v>
      </c>
      <c r="Q5" t="s">
        <v>97</v>
      </c>
    </row>
    <row r="6" spans="1:19" x14ac:dyDescent="0.45">
      <c r="A6">
        <v>-0.65569011346366946</v>
      </c>
      <c r="C6">
        <v>-1.25</v>
      </c>
      <c r="D6">
        <v>4</v>
      </c>
      <c r="E6">
        <v>0.08</v>
      </c>
      <c r="Q6" t="s">
        <v>98</v>
      </c>
    </row>
    <row r="7" spans="1:19" x14ac:dyDescent="0.45">
      <c r="A7">
        <v>1.2071828694246822</v>
      </c>
      <c r="C7">
        <v>-0.75</v>
      </c>
      <c r="D7">
        <v>21</v>
      </c>
      <c r="E7">
        <v>0.42</v>
      </c>
      <c r="Q7" t="s">
        <v>96</v>
      </c>
    </row>
    <row r="8" spans="1:19" x14ac:dyDescent="0.45">
      <c r="A8">
        <v>1.2259061873569372</v>
      </c>
      <c r="C8">
        <v>-0.25</v>
      </c>
      <c r="D8">
        <v>22</v>
      </c>
      <c r="E8">
        <v>0.44</v>
      </c>
    </row>
    <row r="9" spans="1:19" x14ac:dyDescent="0.45">
      <c r="A9">
        <v>-0.85041403218705269</v>
      </c>
      <c r="C9">
        <v>0.25</v>
      </c>
      <c r="D9">
        <v>17</v>
      </c>
      <c r="E9">
        <v>0.34</v>
      </c>
    </row>
    <row r="10" spans="1:19" x14ac:dyDescent="0.45">
      <c r="A10">
        <v>2.3685085654367821</v>
      </c>
      <c r="C10">
        <v>0.75</v>
      </c>
      <c r="D10">
        <v>12</v>
      </c>
      <c r="E10">
        <v>0.24</v>
      </c>
    </row>
    <row r="11" spans="1:19" x14ac:dyDescent="0.45">
      <c r="A11">
        <v>1.1386378998653244</v>
      </c>
      <c r="C11">
        <v>1.25</v>
      </c>
      <c r="D11">
        <v>10</v>
      </c>
      <c r="E11">
        <v>0.2</v>
      </c>
    </row>
    <row r="12" spans="1:19" x14ac:dyDescent="0.45">
      <c r="A12">
        <v>-0.56066186490022218</v>
      </c>
      <c r="C12">
        <v>1.75</v>
      </c>
      <c r="D12">
        <v>4</v>
      </c>
      <c r="E12">
        <v>0.08</v>
      </c>
    </row>
    <row r="13" spans="1:19" x14ac:dyDescent="0.45">
      <c r="A13">
        <v>-0.97477579267748593</v>
      </c>
      <c r="C13">
        <v>2.25</v>
      </c>
      <c r="D13">
        <v>3</v>
      </c>
      <c r="E13">
        <v>0.06</v>
      </c>
    </row>
    <row r="14" spans="1:19" x14ac:dyDescent="0.45">
      <c r="A14">
        <v>0.28662573724252055</v>
      </c>
    </row>
    <row r="15" spans="1:19" x14ac:dyDescent="0.45">
      <c r="A15">
        <v>0.60889073340190525</v>
      </c>
    </row>
    <row r="16" spans="1:19" x14ac:dyDescent="0.45">
      <c r="A16">
        <v>-0.40444479507593289</v>
      </c>
    </row>
    <row r="17" spans="1:1" x14ac:dyDescent="0.45">
      <c r="A17">
        <v>1.6632559622182082</v>
      </c>
    </row>
    <row r="18" spans="1:1" x14ac:dyDescent="0.45">
      <c r="A18">
        <v>-0.10492136112780637</v>
      </c>
    </row>
    <row r="19" spans="1:1" x14ac:dyDescent="0.45">
      <c r="A19">
        <v>-0.13197392295568364</v>
      </c>
    </row>
    <row r="20" spans="1:1" x14ac:dyDescent="0.45">
      <c r="A20">
        <v>-0.37253040561309925</v>
      </c>
    </row>
    <row r="21" spans="1:1" x14ac:dyDescent="0.45">
      <c r="A21">
        <v>0.52243481208422393</v>
      </c>
    </row>
    <row r="22" spans="1:1" x14ac:dyDescent="0.45">
      <c r="A22">
        <v>7.8741638010307327E-2</v>
      </c>
    </row>
    <row r="23" spans="1:1" x14ac:dyDescent="0.45">
      <c r="A23">
        <v>-0.8021262839408787</v>
      </c>
    </row>
    <row r="24" spans="1:1" x14ac:dyDescent="0.45">
      <c r="A24">
        <v>0.1857164791778336</v>
      </c>
    </row>
    <row r="25" spans="1:1" x14ac:dyDescent="0.45">
      <c r="A25">
        <v>1.3806237137805317</v>
      </c>
    </row>
    <row r="26" spans="1:1" x14ac:dyDescent="0.45">
      <c r="A26">
        <v>-0.36765600968830953</v>
      </c>
    </row>
    <row r="27" spans="1:1" x14ac:dyDescent="0.45">
      <c r="A27">
        <v>-0.74356993452895503</v>
      </c>
    </row>
    <row r="28" spans="1:1" ht="15" x14ac:dyDescent="0.25">
      <c r="A28">
        <v>-1.2000706095760392</v>
      </c>
    </row>
    <row r="29" spans="1:1" ht="15" x14ac:dyDescent="0.25">
      <c r="A29">
        <v>0.55784184082122057</v>
      </c>
    </row>
    <row r="30" spans="1:1" ht="15" x14ac:dyDescent="0.25">
      <c r="A30">
        <v>-0.10368225235473251</v>
      </c>
    </row>
    <row r="31" spans="1:1" ht="15" x14ac:dyDescent="0.25">
      <c r="A31">
        <v>-0.81010039595635408</v>
      </c>
    </row>
    <row r="32" spans="1:1" ht="15" x14ac:dyDescent="0.25">
      <c r="A32">
        <v>-0.18925967694779547</v>
      </c>
    </row>
    <row r="33" spans="1:1" ht="15" x14ac:dyDescent="0.25">
      <c r="A33">
        <v>0.51409903727014383</v>
      </c>
    </row>
    <row r="34" spans="1:1" ht="15" x14ac:dyDescent="0.25">
      <c r="A34">
        <v>0.659158298473698</v>
      </c>
    </row>
    <row r="35" spans="1:1" x14ac:dyDescent="0.45">
      <c r="A35">
        <v>1.8856556898563044</v>
      </c>
    </row>
    <row r="36" spans="1:1" x14ac:dyDescent="0.45">
      <c r="A36">
        <v>-0.18868903079823957</v>
      </c>
    </row>
    <row r="37" spans="1:1" x14ac:dyDescent="0.45">
      <c r="A37">
        <v>-0.2829869649409707</v>
      </c>
    </row>
    <row r="38" spans="1:1" x14ac:dyDescent="0.45">
      <c r="A38">
        <v>-0.25161609547836988</v>
      </c>
    </row>
    <row r="39" spans="1:1" x14ac:dyDescent="0.45">
      <c r="A39">
        <v>-0.26735912821399987</v>
      </c>
    </row>
    <row r="40" spans="1:1" x14ac:dyDescent="0.45">
      <c r="A40">
        <v>0.25270656788909457</v>
      </c>
    </row>
    <row r="41" spans="1:1" x14ac:dyDescent="0.45">
      <c r="A41">
        <v>-9.2760612735697426E-2</v>
      </c>
    </row>
    <row r="42" spans="1:1" x14ac:dyDescent="0.45">
      <c r="A42">
        <v>0.64974051650441189</v>
      </c>
    </row>
    <row r="43" spans="1:1" x14ac:dyDescent="0.45">
      <c r="A43">
        <v>0.39892207593987156</v>
      </c>
    </row>
    <row r="44" spans="1:1" x14ac:dyDescent="0.45">
      <c r="A44">
        <v>0.42336262000701874</v>
      </c>
    </row>
    <row r="45" spans="1:1" x14ac:dyDescent="0.45">
      <c r="A45">
        <v>-0.80973917607890344</v>
      </c>
    </row>
    <row r="46" spans="1:1" x14ac:dyDescent="0.45">
      <c r="A46">
        <v>1.2479807342501632</v>
      </c>
    </row>
    <row r="47" spans="1:1" x14ac:dyDescent="0.45">
      <c r="A47">
        <v>-0.95390611050345098</v>
      </c>
    </row>
    <row r="48" spans="1:1" x14ac:dyDescent="0.45">
      <c r="A48">
        <v>-2.400994066344377</v>
      </c>
    </row>
    <row r="49" spans="1:1" x14ac:dyDescent="0.45">
      <c r="A49">
        <v>-0.6376475467786733</v>
      </c>
    </row>
    <row r="50" spans="1:1" x14ac:dyDescent="0.45">
      <c r="A50">
        <v>-1.5424778889457418</v>
      </c>
    </row>
    <row r="51" spans="1:1" x14ac:dyDescent="0.45">
      <c r="A51">
        <v>1.0018242732730136</v>
      </c>
    </row>
    <row r="52" spans="1:1" x14ac:dyDescent="0.45">
      <c r="A52">
        <v>0.99658842942441994</v>
      </c>
    </row>
    <row r="53" spans="1:1" x14ac:dyDescent="0.45">
      <c r="A53">
        <v>0.81016313358917336</v>
      </c>
    </row>
    <row r="54" spans="1:1" x14ac:dyDescent="0.45">
      <c r="A54">
        <v>0.55747665739766694</v>
      </c>
    </row>
    <row r="55" spans="1:1" x14ac:dyDescent="0.45">
      <c r="A55">
        <v>0.4903142230039027</v>
      </c>
    </row>
    <row r="56" spans="1:1" x14ac:dyDescent="0.45">
      <c r="A56">
        <v>-0.86127951172632911</v>
      </c>
    </row>
    <row r="57" spans="1:1" x14ac:dyDescent="0.45">
      <c r="A57">
        <v>0.10244749614777522</v>
      </c>
    </row>
    <row r="58" spans="1:1" x14ac:dyDescent="0.45">
      <c r="A58">
        <v>-0.42654642600394477</v>
      </c>
    </row>
    <row r="59" spans="1:1" x14ac:dyDescent="0.45">
      <c r="A59">
        <v>0.1791448022358377</v>
      </c>
    </row>
    <row r="60" spans="1:1" x14ac:dyDescent="0.45">
      <c r="A60">
        <v>0.25118310252381554</v>
      </c>
    </row>
    <row r="61" spans="1:1" x14ac:dyDescent="0.45">
      <c r="A61">
        <v>-0.90474383992083918</v>
      </c>
    </row>
    <row r="62" spans="1:1" x14ac:dyDescent="0.45">
      <c r="A62">
        <v>-0.24172970411843722</v>
      </c>
    </row>
    <row r="63" spans="1:1" x14ac:dyDescent="0.45">
      <c r="A63">
        <v>-1.2643758313586537</v>
      </c>
    </row>
    <row r="64" spans="1:1" x14ac:dyDescent="0.45">
      <c r="A64">
        <v>-0.20463436103547231</v>
      </c>
    </row>
    <row r="65" spans="1:1" x14ac:dyDescent="0.45">
      <c r="A65">
        <v>0.15929814215734117</v>
      </c>
    </row>
    <row r="66" spans="1:1" x14ac:dyDescent="0.45">
      <c r="A66">
        <v>0.65365498097631669</v>
      </c>
    </row>
    <row r="67" spans="1:1" x14ac:dyDescent="0.45">
      <c r="A67">
        <v>-9.4681539457462702E-2</v>
      </c>
    </row>
    <row r="68" spans="1:1" x14ac:dyDescent="0.45">
      <c r="A68">
        <v>-2.7634688053017693</v>
      </c>
    </row>
    <row r="69" spans="1:1" x14ac:dyDescent="0.45">
      <c r="A69">
        <v>-0.32812875920791873</v>
      </c>
    </row>
    <row r="70" spans="1:1" x14ac:dyDescent="0.45">
      <c r="A70">
        <v>-0.52385970532761317</v>
      </c>
    </row>
    <row r="71" spans="1:1" x14ac:dyDescent="0.45">
      <c r="A71">
        <v>1.0320323975124412</v>
      </c>
    </row>
    <row r="72" spans="1:1" x14ac:dyDescent="0.45">
      <c r="A72">
        <v>0.64124463052027347</v>
      </c>
    </row>
    <row r="73" spans="1:1" x14ac:dyDescent="0.45">
      <c r="A73">
        <v>-2.2694238742201578</v>
      </c>
    </row>
    <row r="74" spans="1:1" x14ac:dyDescent="0.45">
      <c r="A74">
        <v>1.0811551391326355</v>
      </c>
    </row>
    <row r="75" spans="1:1" x14ac:dyDescent="0.45">
      <c r="A75">
        <v>-0.29381002409642881</v>
      </c>
    </row>
    <row r="76" spans="1:1" x14ac:dyDescent="0.45">
      <c r="A76">
        <v>8.5475957016164741E-2</v>
      </c>
    </row>
    <row r="77" spans="1:1" x14ac:dyDescent="0.45">
      <c r="A77">
        <v>1.726886515877005</v>
      </c>
    </row>
    <row r="78" spans="1:1" x14ac:dyDescent="0.45">
      <c r="A78">
        <v>-0.42721832202274246</v>
      </c>
    </row>
    <row r="79" spans="1:1" x14ac:dyDescent="0.45">
      <c r="A79">
        <v>1.2084712706298477</v>
      </c>
    </row>
    <row r="80" spans="1:1" x14ac:dyDescent="0.45">
      <c r="A80">
        <v>0.33581903441394784</v>
      </c>
    </row>
    <row r="81" spans="1:1" x14ac:dyDescent="0.45">
      <c r="A81">
        <v>-0.62750311616076349</v>
      </c>
    </row>
    <row r="82" spans="1:1" x14ac:dyDescent="0.45">
      <c r="A82">
        <v>-0.38793167736366341</v>
      </c>
    </row>
    <row r="83" spans="1:1" x14ac:dyDescent="0.45">
      <c r="A83">
        <v>0.14833009494447413</v>
      </c>
    </row>
    <row r="84" spans="1:1" x14ac:dyDescent="0.45">
      <c r="A84">
        <v>0.34954737442711747</v>
      </c>
    </row>
    <row r="85" spans="1:1" x14ac:dyDescent="0.45">
      <c r="A85">
        <v>-0.30704933953776975</v>
      </c>
    </row>
    <row r="86" spans="1:1" x14ac:dyDescent="0.45">
      <c r="A86">
        <v>-1.8389041543815903</v>
      </c>
    </row>
    <row r="87" spans="1:1" x14ac:dyDescent="0.45">
      <c r="A87">
        <v>-0.87912537321656115</v>
      </c>
    </row>
    <row r="88" spans="1:1" x14ac:dyDescent="0.45">
      <c r="A88">
        <v>-2.6316903974045629</v>
      </c>
    </row>
    <row r="89" spans="1:1" x14ac:dyDescent="0.45">
      <c r="A89">
        <v>2.0841725779856923</v>
      </c>
    </row>
    <row r="90" spans="1:1" x14ac:dyDescent="0.45">
      <c r="A90">
        <v>-0.43137024909283717</v>
      </c>
    </row>
    <row r="91" spans="1:1" x14ac:dyDescent="0.45">
      <c r="A91">
        <v>-0.52615520771180635</v>
      </c>
    </row>
    <row r="92" spans="1:1" x14ac:dyDescent="0.45">
      <c r="A92">
        <v>0.67085777430024185</v>
      </c>
    </row>
    <row r="93" spans="1:1" x14ac:dyDescent="0.45">
      <c r="A93">
        <v>0.33673720321544126</v>
      </c>
    </row>
    <row r="94" spans="1:1" x14ac:dyDescent="0.45">
      <c r="A94">
        <v>-1.2411452240794947</v>
      </c>
    </row>
    <row r="95" spans="1:1" x14ac:dyDescent="0.45">
      <c r="A95">
        <v>2.1216350172164726</v>
      </c>
    </row>
    <row r="96" spans="1:1" x14ac:dyDescent="0.45">
      <c r="A96">
        <v>-0.98851210199729622</v>
      </c>
    </row>
    <row r="97" spans="1:1" x14ac:dyDescent="0.45">
      <c r="A97">
        <v>-0.89755600844014849</v>
      </c>
    </row>
    <row r="98" spans="1:1" x14ac:dyDescent="0.45">
      <c r="A98">
        <v>-0.64275114482990303</v>
      </c>
    </row>
    <row r="99" spans="1:1" x14ac:dyDescent="0.45">
      <c r="A99">
        <v>0.37178034857012476</v>
      </c>
    </row>
    <row r="100" spans="1:1" x14ac:dyDescent="0.45">
      <c r="A100">
        <v>-0.83219443609522203</v>
      </c>
    </row>
    <row r="101" spans="1:1" x14ac:dyDescent="0.45">
      <c r="A101">
        <v>1.3507855165360829</v>
      </c>
    </row>
    <row r="102" spans="1:1" x14ac:dyDescent="0.45">
      <c r="A102">
        <v>1.7466566932064587</v>
      </c>
    </row>
  </sheetData>
  <dataValidations count="3">
    <dataValidation type="whole" allowBlank="1" showInputMessage="1" showErrorMessage="1" sqref="M3">
      <formula1>2</formula1>
      <formula2>50</formula2>
    </dataValidation>
    <dataValidation type="decimal" operator="greaterThan" allowBlank="1" showInputMessage="1" showErrorMessage="1" sqref="K3">
      <formula1>0</formula1>
    </dataValidation>
    <dataValidation type="whole" allowBlank="1" showInputMessage="1" showErrorMessage="1" sqref="L3">
      <formula1>2</formula1>
      <formula2>10000</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33"/>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4.25" x14ac:dyDescent="0.45"/>
  <cols>
    <col min="1" max="1" width="15.9296875" bestFit="1" customWidth="1"/>
    <col min="2" max="2" width="6" customWidth="1"/>
    <col min="3" max="3" width="5.1328125" customWidth="1"/>
    <col min="4" max="4" width="7.73046875" customWidth="1"/>
    <col min="5" max="5" width="7" customWidth="1"/>
    <col min="6" max="6" width="7.19921875" customWidth="1"/>
    <col min="7" max="7" width="7.73046875" customWidth="1"/>
    <col min="8" max="8" width="7.86328125" customWidth="1"/>
    <col min="9" max="9" width="6.19921875" customWidth="1"/>
    <col min="10" max="10" width="5.33203125" customWidth="1"/>
    <col min="11" max="11" width="5.9296875" customWidth="1"/>
    <col min="12" max="12" width="6.796875" customWidth="1"/>
    <col min="14" max="14" width="14.59765625" customWidth="1"/>
    <col min="16" max="16" width="11.59765625" customWidth="1"/>
    <col min="18" max="18" width="5.9296875" customWidth="1"/>
  </cols>
  <sheetData>
    <row r="1" spans="1:20" x14ac:dyDescent="0.45">
      <c r="A1" s="2" t="s">
        <v>59</v>
      </c>
      <c r="B1" s="2" t="s">
        <v>1</v>
      </c>
      <c r="C1" s="2" t="s">
        <v>2</v>
      </c>
      <c r="D1" s="2" t="s">
        <v>3</v>
      </c>
      <c r="E1" s="2" t="s">
        <v>4</v>
      </c>
      <c r="F1" s="2" t="s">
        <v>5</v>
      </c>
      <c r="G1" s="2" t="s">
        <v>6</v>
      </c>
      <c r="H1" s="2" t="s">
        <v>7</v>
      </c>
      <c r="I1" s="2" t="s">
        <v>8</v>
      </c>
      <c r="J1" s="2" t="s">
        <v>9</v>
      </c>
      <c r="K1" s="2" t="s">
        <v>10</v>
      </c>
      <c r="L1" s="2" t="s">
        <v>11</v>
      </c>
    </row>
    <row r="2" spans="1:20" x14ac:dyDescent="0.45">
      <c r="A2" t="s">
        <v>12</v>
      </c>
      <c r="B2">
        <v>21</v>
      </c>
      <c r="C2">
        <v>6</v>
      </c>
      <c r="D2">
        <v>160</v>
      </c>
      <c r="E2">
        <v>110</v>
      </c>
      <c r="F2" s="1">
        <v>3.9</v>
      </c>
      <c r="G2" s="1">
        <v>2.62</v>
      </c>
      <c r="H2" s="1">
        <v>16.46</v>
      </c>
      <c r="I2" s="1">
        <v>0</v>
      </c>
      <c r="J2" s="1">
        <v>1</v>
      </c>
      <c r="K2" s="1">
        <v>4</v>
      </c>
      <c r="L2" s="1">
        <v>2</v>
      </c>
    </row>
    <row r="3" spans="1:20" x14ac:dyDescent="0.45">
      <c r="A3" t="s">
        <v>13</v>
      </c>
      <c r="B3">
        <v>21</v>
      </c>
      <c r="C3">
        <v>6</v>
      </c>
      <c r="D3">
        <v>160</v>
      </c>
      <c r="E3">
        <v>110</v>
      </c>
      <c r="F3" s="1">
        <v>3.9</v>
      </c>
      <c r="G3" s="1">
        <v>2.875</v>
      </c>
      <c r="H3" s="1">
        <v>17.02</v>
      </c>
      <c r="I3" s="1">
        <v>0</v>
      </c>
      <c r="J3" s="1">
        <v>1</v>
      </c>
      <c r="K3" s="1">
        <v>4</v>
      </c>
      <c r="L3" s="1">
        <v>4</v>
      </c>
      <c r="N3" s="2" t="s">
        <v>106</v>
      </c>
      <c r="S3" s="2" t="s">
        <v>77</v>
      </c>
    </row>
    <row r="4" spans="1:20" x14ac:dyDescent="0.45">
      <c r="A4" t="s">
        <v>14</v>
      </c>
      <c r="B4">
        <v>22.8</v>
      </c>
      <c r="C4">
        <v>4</v>
      </c>
      <c r="D4">
        <v>108</v>
      </c>
      <c r="E4">
        <v>93</v>
      </c>
      <c r="F4" s="1">
        <v>3.85</v>
      </c>
      <c r="G4" s="1">
        <v>2.3199999999999998</v>
      </c>
      <c r="H4" s="1">
        <v>18.61</v>
      </c>
      <c r="I4" s="1">
        <v>1</v>
      </c>
      <c r="J4" s="1">
        <v>1</v>
      </c>
      <c r="K4" s="1">
        <v>4</v>
      </c>
      <c r="L4" s="1">
        <v>1</v>
      </c>
      <c r="S4">
        <v>1</v>
      </c>
      <c r="T4" t="s">
        <v>108</v>
      </c>
    </row>
    <row r="5" spans="1:20" x14ac:dyDescent="0.45">
      <c r="A5" t="s">
        <v>15</v>
      </c>
      <c r="B5">
        <v>21.4</v>
      </c>
      <c r="C5">
        <v>6</v>
      </c>
      <c r="D5">
        <v>258</v>
      </c>
      <c r="E5">
        <v>110</v>
      </c>
      <c r="F5" s="1">
        <v>3.08</v>
      </c>
      <c r="G5" s="1">
        <v>3.2149999999999999</v>
      </c>
      <c r="H5" s="1">
        <v>19.440000000000001</v>
      </c>
      <c r="I5" s="1">
        <v>1</v>
      </c>
      <c r="J5" s="1">
        <v>0</v>
      </c>
      <c r="K5" s="1">
        <v>3</v>
      </c>
      <c r="L5" s="1">
        <v>1</v>
      </c>
      <c r="T5" t="s">
        <v>109</v>
      </c>
    </row>
    <row r="6" spans="1:20" x14ac:dyDescent="0.45">
      <c r="A6" t="s">
        <v>16</v>
      </c>
      <c r="B6">
        <v>18.7</v>
      </c>
      <c r="C6">
        <v>8</v>
      </c>
      <c r="D6">
        <v>360</v>
      </c>
      <c r="E6">
        <v>175</v>
      </c>
      <c r="F6" s="1">
        <v>3.15</v>
      </c>
      <c r="G6" s="1">
        <v>3.44</v>
      </c>
      <c r="H6" s="1">
        <v>17.02</v>
      </c>
      <c r="I6" s="1">
        <v>0</v>
      </c>
      <c r="J6" s="1">
        <v>0</v>
      </c>
      <c r="K6" s="1">
        <v>3</v>
      </c>
      <c r="L6" s="1">
        <v>2</v>
      </c>
      <c r="T6" t="s">
        <v>110</v>
      </c>
    </row>
    <row r="7" spans="1:20" x14ac:dyDescent="0.45">
      <c r="A7" t="s">
        <v>17</v>
      </c>
      <c r="B7">
        <v>18.100000000000001</v>
      </c>
      <c r="C7">
        <v>6</v>
      </c>
      <c r="D7">
        <v>225</v>
      </c>
      <c r="E7">
        <v>105</v>
      </c>
      <c r="F7" s="1">
        <v>2.76</v>
      </c>
      <c r="G7" s="1">
        <v>3.46</v>
      </c>
      <c r="H7" s="1">
        <v>20.22</v>
      </c>
      <c r="I7" s="1">
        <v>1</v>
      </c>
      <c r="J7" s="1">
        <v>0</v>
      </c>
      <c r="K7" s="1">
        <v>3</v>
      </c>
      <c r="L7" s="1">
        <v>1</v>
      </c>
      <c r="N7" s="2" t="s">
        <v>100</v>
      </c>
      <c r="O7" t="str">
        <f>RExec(O9:O16,$A$1:$L$33)</f>
        <v>#RExec# 0.7671117</v>
      </c>
    </row>
    <row r="8" spans="1:20" x14ac:dyDescent="0.45">
      <c r="A8" t="s">
        <v>18</v>
      </c>
      <c r="B8">
        <v>14.3</v>
      </c>
      <c r="C8">
        <v>8</v>
      </c>
      <c r="D8">
        <v>360</v>
      </c>
      <c r="E8">
        <v>245</v>
      </c>
      <c r="F8" s="1">
        <v>3.21</v>
      </c>
      <c r="G8" s="1">
        <v>3.57</v>
      </c>
      <c r="H8" s="1">
        <v>15.84</v>
      </c>
      <c r="I8" s="1">
        <v>0</v>
      </c>
      <c r="J8" s="1">
        <v>0</v>
      </c>
      <c r="K8" s="1">
        <v>3</v>
      </c>
      <c r="L8" s="1">
        <v>4</v>
      </c>
    </row>
    <row r="9" spans="1:20" x14ac:dyDescent="0.45">
      <c r="A9" t="s">
        <v>19</v>
      </c>
      <c r="B9">
        <v>24.4</v>
      </c>
      <c r="C9">
        <v>4</v>
      </c>
      <c r="D9">
        <v>146.69999999999999</v>
      </c>
      <c r="E9">
        <v>62</v>
      </c>
      <c r="F9" s="1">
        <v>3.69</v>
      </c>
      <c r="G9" s="1">
        <v>3.19</v>
      </c>
      <c r="H9" s="1">
        <v>20</v>
      </c>
      <c r="I9" s="1">
        <v>1</v>
      </c>
      <c r="J9" s="1">
        <v>0</v>
      </c>
      <c r="K9" s="1">
        <v>4</v>
      </c>
      <c r="L9" s="1">
        <v>2</v>
      </c>
      <c r="N9" s="2" t="s">
        <v>102</v>
      </c>
      <c r="O9" t="s">
        <v>107</v>
      </c>
    </row>
    <row r="10" spans="1:20" x14ac:dyDescent="0.45">
      <c r="A10" t="s">
        <v>20</v>
      </c>
      <c r="B10">
        <v>22.8</v>
      </c>
      <c r="C10">
        <v>4</v>
      </c>
      <c r="D10">
        <v>140.80000000000001</v>
      </c>
      <c r="E10">
        <v>95</v>
      </c>
      <c r="F10" s="1">
        <v>3.92</v>
      </c>
      <c r="G10" s="1">
        <v>3.15</v>
      </c>
      <c r="H10" s="1">
        <v>22.9</v>
      </c>
      <c r="I10" s="1">
        <v>1</v>
      </c>
      <c r="J10" s="1">
        <v>0</v>
      </c>
      <c r="K10" s="1">
        <v>4</v>
      </c>
      <c r="L10" s="1">
        <v>2</v>
      </c>
      <c r="O10" t="s">
        <v>111</v>
      </c>
    </row>
    <row r="11" spans="1:20" x14ac:dyDescent="0.45">
      <c r="A11" t="s">
        <v>21</v>
      </c>
      <c r="B11">
        <v>19.2</v>
      </c>
      <c r="C11">
        <v>6</v>
      </c>
      <c r="D11">
        <v>167.6</v>
      </c>
      <c r="E11">
        <v>123</v>
      </c>
      <c r="F11" s="1">
        <v>3.92</v>
      </c>
      <c r="G11" s="1">
        <v>3.44</v>
      </c>
      <c r="H11" s="1">
        <v>18.3</v>
      </c>
      <c r="I11" s="1">
        <v>1</v>
      </c>
      <c r="J11" s="1">
        <v>0</v>
      </c>
      <c r="K11" s="1">
        <v>4</v>
      </c>
      <c r="L11" s="1">
        <v>4</v>
      </c>
      <c r="O11" t="s">
        <v>71</v>
      </c>
    </row>
    <row r="12" spans="1:20" x14ac:dyDescent="0.45">
      <c r="A12" t="s">
        <v>22</v>
      </c>
      <c r="B12">
        <v>17.8</v>
      </c>
      <c r="C12">
        <v>6</v>
      </c>
      <c r="D12">
        <v>167.6</v>
      </c>
      <c r="E12">
        <v>123</v>
      </c>
      <c r="F12" s="1">
        <v>3.92</v>
      </c>
      <c r="G12" s="1">
        <v>3.44</v>
      </c>
      <c r="H12" s="1">
        <v>18.899999999999999</v>
      </c>
      <c r="I12" s="1">
        <v>1</v>
      </c>
      <c r="J12" s="1">
        <v>0</v>
      </c>
      <c r="K12" s="1">
        <v>4</v>
      </c>
      <c r="L12" s="1">
        <v>4</v>
      </c>
      <c r="O12" t="s">
        <v>113</v>
      </c>
    </row>
    <row r="13" spans="1:20" x14ac:dyDescent="0.45">
      <c r="A13" t="s">
        <v>23</v>
      </c>
      <c r="B13" s="1">
        <v>16.399999999999999</v>
      </c>
      <c r="C13" s="1">
        <v>8</v>
      </c>
      <c r="D13" s="1">
        <v>275.8</v>
      </c>
      <c r="E13" s="1">
        <v>180</v>
      </c>
      <c r="F13" s="1">
        <v>3.07</v>
      </c>
      <c r="G13" s="1">
        <v>4.07</v>
      </c>
      <c r="H13" s="1">
        <v>17.399999999999999</v>
      </c>
      <c r="I13" s="1">
        <v>0</v>
      </c>
      <c r="J13" s="1">
        <v>0</v>
      </c>
      <c r="K13" s="1">
        <v>3</v>
      </c>
      <c r="L13" s="1">
        <v>3</v>
      </c>
      <c r="O13" t="str">
        <f>INDEX(plots,current_plot) &amp; "(dataset[,nums])"</f>
        <v>boxplot(dataset[,nums])</v>
      </c>
    </row>
    <row r="14" spans="1:20" x14ac:dyDescent="0.45">
      <c r="A14" t="s">
        <v>24</v>
      </c>
      <c r="B14" s="1">
        <v>17.3</v>
      </c>
      <c r="C14" s="1">
        <v>8</v>
      </c>
      <c r="D14" s="1">
        <v>275.8</v>
      </c>
      <c r="E14" s="1">
        <v>180</v>
      </c>
      <c r="F14" s="1">
        <v>3.07</v>
      </c>
      <c r="G14" s="1">
        <v>3.73</v>
      </c>
      <c r="H14" s="1">
        <v>17.600000000000001</v>
      </c>
      <c r="I14" s="1">
        <v>0</v>
      </c>
      <c r="J14" s="1">
        <v>0</v>
      </c>
      <c r="K14" s="1">
        <v>3</v>
      </c>
      <c r="L14" s="1">
        <v>3</v>
      </c>
      <c r="O14" t="s">
        <v>112</v>
      </c>
    </row>
    <row r="15" spans="1:20" x14ac:dyDescent="0.45">
      <c r="A15" t="s">
        <v>25</v>
      </c>
      <c r="B15" s="1">
        <v>15.2</v>
      </c>
      <c r="C15" s="1">
        <v>8</v>
      </c>
      <c r="D15" s="1">
        <v>275.8</v>
      </c>
      <c r="E15" s="1">
        <v>180</v>
      </c>
      <c r="F15" s="1">
        <v>3.07</v>
      </c>
      <c r="G15" s="1">
        <v>3.78</v>
      </c>
      <c r="H15" s="1">
        <v>18</v>
      </c>
      <c r="I15" s="1">
        <v>0</v>
      </c>
      <c r="J15" s="1">
        <v>0</v>
      </c>
      <c r="K15" s="1">
        <v>3</v>
      </c>
      <c r="L15" s="1">
        <v>3</v>
      </c>
      <c r="O15" t="s">
        <v>0</v>
      </c>
    </row>
    <row r="16" spans="1:20" x14ac:dyDescent="0.45">
      <c r="A16" t="s">
        <v>26</v>
      </c>
      <c r="B16" s="1">
        <v>10.4</v>
      </c>
      <c r="C16" s="1">
        <v>8</v>
      </c>
      <c r="D16" s="1">
        <v>472</v>
      </c>
      <c r="E16" s="1">
        <v>205</v>
      </c>
      <c r="F16" s="1">
        <v>2.93</v>
      </c>
      <c r="G16" s="1">
        <v>5.25</v>
      </c>
      <c r="H16" s="1">
        <v>17.98</v>
      </c>
      <c r="I16" s="1">
        <v>0</v>
      </c>
      <c r="J16" s="1">
        <v>0</v>
      </c>
      <c r="K16" s="1">
        <v>3</v>
      </c>
      <c r="L16" s="1">
        <v>4</v>
      </c>
      <c r="O16" t="s">
        <v>114</v>
      </c>
    </row>
    <row r="17" spans="1:12" x14ac:dyDescent="0.45">
      <c r="A17" t="s">
        <v>27</v>
      </c>
      <c r="B17" s="1">
        <v>10.4</v>
      </c>
      <c r="C17" s="1">
        <v>8</v>
      </c>
      <c r="D17" s="1">
        <v>460</v>
      </c>
      <c r="E17" s="1">
        <v>215</v>
      </c>
      <c r="F17" s="1">
        <v>3</v>
      </c>
      <c r="G17" s="1">
        <v>5.4240000000000004</v>
      </c>
      <c r="H17" s="1">
        <v>17.82</v>
      </c>
      <c r="I17" s="1">
        <v>0</v>
      </c>
      <c r="J17" s="1">
        <v>0</v>
      </c>
      <c r="K17" s="1">
        <v>3</v>
      </c>
      <c r="L17" s="1">
        <v>4</v>
      </c>
    </row>
    <row r="18" spans="1:12" x14ac:dyDescent="0.45">
      <c r="A18" t="s">
        <v>28</v>
      </c>
      <c r="B18" s="1">
        <v>14.7</v>
      </c>
      <c r="C18" s="1">
        <v>8</v>
      </c>
      <c r="D18" s="1">
        <v>440</v>
      </c>
      <c r="E18" s="1">
        <v>230</v>
      </c>
      <c r="F18" s="1">
        <v>3.23</v>
      </c>
      <c r="G18" s="1">
        <v>5.3449999999999998</v>
      </c>
      <c r="H18" s="1">
        <v>17.420000000000002</v>
      </c>
      <c r="I18" s="1">
        <v>0</v>
      </c>
      <c r="J18" s="1">
        <v>0</v>
      </c>
      <c r="K18" s="1">
        <v>3</v>
      </c>
      <c r="L18" s="1">
        <v>4</v>
      </c>
    </row>
    <row r="19" spans="1:12" x14ac:dyDescent="0.45">
      <c r="A19" t="s">
        <v>29</v>
      </c>
      <c r="B19" s="1">
        <v>32.4</v>
      </c>
      <c r="C19" s="1">
        <v>4</v>
      </c>
      <c r="D19" s="1">
        <v>78.7</v>
      </c>
      <c r="E19" s="1">
        <v>66</v>
      </c>
      <c r="F19" s="1">
        <v>4.08</v>
      </c>
      <c r="G19" s="1">
        <v>2.2000000000000002</v>
      </c>
      <c r="H19" s="1">
        <v>19.47</v>
      </c>
      <c r="I19" s="1">
        <v>1</v>
      </c>
      <c r="J19" s="1">
        <v>1</v>
      </c>
      <c r="K19" s="1">
        <v>4</v>
      </c>
      <c r="L19" s="1">
        <v>1</v>
      </c>
    </row>
    <row r="20" spans="1:12" x14ac:dyDescent="0.45">
      <c r="A20" t="s">
        <v>30</v>
      </c>
      <c r="B20" s="1">
        <v>30.4</v>
      </c>
      <c r="C20" s="1">
        <v>4</v>
      </c>
      <c r="D20" s="1">
        <v>75.7</v>
      </c>
      <c r="E20" s="1">
        <v>52</v>
      </c>
      <c r="F20" s="1">
        <v>4.93</v>
      </c>
      <c r="G20" s="1">
        <v>1.615</v>
      </c>
      <c r="H20" s="1">
        <v>18.52</v>
      </c>
      <c r="I20" s="1">
        <v>1</v>
      </c>
      <c r="J20" s="1">
        <v>1</v>
      </c>
      <c r="K20" s="1">
        <v>4</v>
      </c>
      <c r="L20" s="1">
        <v>2</v>
      </c>
    </row>
    <row r="21" spans="1:12" x14ac:dyDescent="0.45">
      <c r="A21" t="s">
        <v>31</v>
      </c>
      <c r="B21" s="1">
        <v>33.9</v>
      </c>
      <c r="C21" s="1">
        <v>4</v>
      </c>
      <c r="D21" s="1">
        <v>71.099999999999994</v>
      </c>
      <c r="E21" s="1">
        <v>65</v>
      </c>
      <c r="F21" s="1">
        <v>4.22</v>
      </c>
      <c r="G21" s="1">
        <v>1.835</v>
      </c>
      <c r="H21" s="1">
        <v>19.899999999999999</v>
      </c>
      <c r="I21" s="1">
        <v>1</v>
      </c>
      <c r="J21" s="1">
        <v>1</v>
      </c>
      <c r="K21" s="1">
        <v>4</v>
      </c>
      <c r="L21" s="1">
        <v>1</v>
      </c>
    </row>
    <row r="22" spans="1:12" x14ac:dyDescent="0.45">
      <c r="A22" t="s">
        <v>32</v>
      </c>
      <c r="B22" s="1">
        <v>21.5</v>
      </c>
      <c r="C22" s="1">
        <v>4</v>
      </c>
      <c r="D22" s="1">
        <v>120.1</v>
      </c>
      <c r="E22" s="1">
        <v>97</v>
      </c>
      <c r="F22" s="1">
        <v>3.7</v>
      </c>
      <c r="G22" s="1">
        <v>2.4649999999999999</v>
      </c>
      <c r="H22" s="1">
        <v>20.010000000000002</v>
      </c>
      <c r="I22" s="1">
        <v>1</v>
      </c>
      <c r="J22" s="1">
        <v>0</v>
      </c>
      <c r="K22" s="1">
        <v>3</v>
      </c>
      <c r="L22" s="1">
        <v>1</v>
      </c>
    </row>
    <row r="23" spans="1:12" x14ac:dyDescent="0.45">
      <c r="A23" t="s">
        <v>33</v>
      </c>
      <c r="B23" s="1">
        <v>15.5</v>
      </c>
      <c r="C23" s="1">
        <v>8</v>
      </c>
      <c r="D23" s="1">
        <v>318</v>
      </c>
      <c r="E23" s="1">
        <v>150</v>
      </c>
      <c r="F23" s="1">
        <v>2.76</v>
      </c>
      <c r="G23" s="1">
        <v>3.52</v>
      </c>
      <c r="H23" s="1">
        <v>16.87</v>
      </c>
      <c r="I23" s="1">
        <v>0</v>
      </c>
      <c r="J23" s="1">
        <v>0</v>
      </c>
      <c r="K23" s="1">
        <v>3</v>
      </c>
      <c r="L23" s="1">
        <v>2</v>
      </c>
    </row>
    <row r="24" spans="1:12" x14ac:dyDescent="0.45">
      <c r="A24" t="s">
        <v>34</v>
      </c>
      <c r="B24" s="1">
        <v>15.2</v>
      </c>
      <c r="C24" s="1">
        <v>8</v>
      </c>
      <c r="D24" s="1">
        <v>304</v>
      </c>
      <c r="E24" s="1">
        <v>150</v>
      </c>
      <c r="F24" s="1">
        <v>3.15</v>
      </c>
      <c r="G24" s="1">
        <v>3.4350000000000001</v>
      </c>
      <c r="H24" s="1">
        <v>17.3</v>
      </c>
      <c r="I24" s="1">
        <v>0</v>
      </c>
      <c r="J24" s="1">
        <v>0</v>
      </c>
      <c r="K24" s="1">
        <v>3</v>
      </c>
      <c r="L24" s="1">
        <v>2</v>
      </c>
    </row>
    <row r="25" spans="1:12" x14ac:dyDescent="0.45">
      <c r="A25" t="s">
        <v>35</v>
      </c>
      <c r="B25" s="1">
        <v>13.3</v>
      </c>
      <c r="C25" s="1">
        <v>8</v>
      </c>
      <c r="D25" s="1">
        <v>350</v>
      </c>
      <c r="E25" s="1">
        <v>245</v>
      </c>
      <c r="F25" s="1">
        <v>3.73</v>
      </c>
      <c r="G25" s="1">
        <v>3.84</v>
      </c>
      <c r="H25" s="1">
        <v>15.41</v>
      </c>
      <c r="I25" s="1">
        <v>0</v>
      </c>
      <c r="J25" s="1">
        <v>0</v>
      </c>
      <c r="K25" s="1">
        <v>3</v>
      </c>
      <c r="L25" s="1">
        <v>4</v>
      </c>
    </row>
    <row r="26" spans="1:12" x14ac:dyDescent="0.45">
      <c r="A26" t="s">
        <v>36</v>
      </c>
      <c r="B26" s="1">
        <v>19.2</v>
      </c>
      <c r="C26" s="1">
        <v>8</v>
      </c>
      <c r="D26" s="1">
        <v>400</v>
      </c>
      <c r="E26" s="1">
        <v>175</v>
      </c>
      <c r="F26" s="1">
        <v>3.08</v>
      </c>
      <c r="G26" s="1">
        <v>3.8450000000000002</v>
      </c>
      <c r="H26" s="1">
        <v>17.05</v>
      </c>
      <c r="I26" s="1">
        <v>0</v>
      </c>
      <c r="J26" s="1">
        <v>0</v>
      </c>
      <c r="K26" s="1">
        <v>3</v>
      </c>
      <c r="L26" s="1">
        <v>2</v>
      </c>
    </row>
    <row r="27" spans="1:12" x14ac:dyDescent="0.45">
      <c r="A27" t="s">
        <v>37</v>
      </c>
      <c r="B27" s="1">
        <v>27.3</v>
      </c>
      <c r="C27" s="1">
        <v>4</v>
      </c>
      <c r="D27" s="1">
        <v>79</v>
      </c>
      <c r="E27" s="1">
        <v>66</v>
      </c>
      <c r="F27" s="1">
        <v>4.08</v>
      </c>
      <c r="G27" s="1">
        <v>1.9350000000000001</v>
      </c>
      <c r="H27" s="1">
        <v>18.899999999999999</v>
      </c>
      <c r="I27" s="1">
        <v>1</v>
      </c>
      <c r="J27" s="1">
        <v>1</v>
      </c>
      <c r="K27" s="1">
        <v>4</v>
      </c>
      <c r="L27" s="1">
        <v>1</v>
      </c>
    </row>
    <row r="28" spans="1:12" x14ac:dyDescent="0.45">
      <c r="A28" t="s">
        <v>38</v>
      </c>
      <c r="B28" s="1">
        <v>26</v>
      </c>
      <c r="C28" s="1">
        <v>4</v>
      </c>
      <c r="D28" s="1">
        <v>120.3</v>
      </c>
      <c r="E28" s="1">
        <v>91</v>
      </c>
      <c r="F28" s="1">
        <v>4.43</v>
      </c>
      <c r="G28" s="1">
        <v>2.14</v>
      </c>
      <c r="H28" s="1">
        <v>16.7</v>
      </c>
      <c r="I28" s="1">
        <v>0</v>
      </c>
      <c r="J28" s="1">
        <v>1</v>
      </c>
      <c r="K28" s="1">
        <v>5</v>
      </c>
      <c r="L28" s="1">
        <v>2</v>
      </c>
    </row>
    <row r="29" spans="1:12" x14ac:dyDescent="0.45">
      <c r="A29" t="s">
        <v>39</v>
      </c>
      <c r="B29" s="1">
        <v>30.4</v>
      </c>
      <c r="C29" s="1">
        <v>4</v>
      </c>
      <c r="D29" s="1">
        <v>95.1</v>
      </c>
      <c r="E29" s="1">
        <v>113</v>
      </c>
      <c r="F29" s="1">
        <v>3.77</v>
      </c>
      <c r="G29" s="1">
        <v>1.5129999999999999</v>
      </c>
      <c r="H29" s="1">
        <v>16.899999999999999</v>
      </c>
      <c r="I29" s="1">
        <v>1</v>
      </c>
      <c r="J29" s="1">
        <v>1</v>
      </c>
      <c r="K29" s="1">
        <v>5</v>
      </c>
      <c r="L29" s="1">
        <v>2</v>
      </c>
    </row>
    <row r="30" spans="1:12" x14ac:dyDescent="0.45">
      <c r="A30" t="s">
        <v>40</v>
      </c>
      <c r="B30" s="1">
        <v>15.8</v>
      </c>
      <c r="C30" s="1">
        <v>8</v>
      </c>
      <c r="D30" s="1">
        <v>351</v>
      </c>
      <c r="E30" s="1">
        <v>264</v>
      </c>
      <c r="F30" s="1">
        <v>4.22</v>
      </c>
      <c r="G30" s="1">
        <v>3.17</v>
      </c>
      <c r="H30" s="1">
        <v>14.5</v>
      </c>
      <c r="I30" s="1">
        <v>0</v>
      </c>
      <c r="J30" s="1">
        <v>1</v>
      </c>
      <c r="K30" s="1">
        <v>5</v>
      </c>
      <c r="L30" s="1">
        <v>4</v>
      </c>
    </row>
    <row r="31" spans="1:12" x14ac:dyDescent="0.45">
      <c r="A31" t="s">
        <v>41</v>
      </c>
      <c r="B31" s="1">
        <v>19.7</v>
      </c>
      <c r="C31" s="1">
        <v>6</v>
      </c>
      <c r="D31" s="1">
        <v>145</v>
      </c>
      <c r="E31" s="1">
        <v>175</v>
      </c>
      <c r="F31" s="1">
        <v>3.62</v>
      </c>
      <c r="G31" s="1">
        <v>2.77</v>
      </c>
      <c r="H31" s="1">
        <v>15.5</v>
      </c>
      <c r="I31" s="1">
        <v>0</v>
      </c>
      <c r="J31" s="1">
        <v>1</v>
      </c>
      <c r="K31" s="1">
        <v>5</v>
      </c>
      <c r="L31" s="1">
        <v>6</v>
      </c>
    </row>
    <row r="32" spans="1:12" x14ac:dyDescent="0.45">
      <c r="A32" t="s">
        <v>42</v>
      </c>
      <c r="B32" s="1">
        <v>15</v>
      </c>
      <c r="C32" s="1">
        <v>8</v>
      </c>
      <c r="D32" s="1">
        <v>301</v>
      </c>
      <c r="E32" s="1">
        <v>335</v>
      </c>
      <c r="F32" s="1">
        <v>3.54</v>
      </c>
      <c r="G32" s="1">
        <v>3.57</v>
      </c>
      <c r="H32" s="1">
        <v>14.6</v>
      </c>
      <c r="I32" s="1">
        <v>0</v>
      </c>
      <c r="J32" s="1">
        <v>1</v>
      </c>
      <c r="K32" s="1">
        <v>5</v>
      </c>
      <c r="L32" s="1">
        <v>8</v>
      </c>
    </row>
    <row r="33" spans="1:12" x14ac:dyDescent="0.45">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14</xdr:col>
                    <xdr:colOff>214313</xdr:colOff>
                    <xdr:row>1</xdr:row>
                    <xdr:rowOff>133350</xdr:rowOff>
                  </from>
                  <to>
                    <xdr:col>16</xdr:col>
                    <xdr:colOff>561975</xdr:colOff>
                    <xdr:row>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21"/>
  <sheetViews>
    <sheetView workbookViewId="0">
      <selection activeCell="K16" sqref="K16"/>
    </sheetView>
  </sheetViews>
  <sheetFormatPr defaultRowHeight="14.25" x14ac:dyDescent="0.45"/>
  <sheetData>
    <row r="1" spans="1:1" x14ac:dyDescent="0.45">
      <c r="A1" t="s">
        <v>62</v>
      </c>
    </row>
    <row r="2" spans="1:1" x14ac:dyDescent="0.45">
      <c r="A2" t="s">
        <v>45</v>
      </c>
    </row>
    <row r="3" spans="1:1" x14ac:dyDescent="0.45">
      <c r="A3" t="s">
        <v>73</v>
      </c>
    </row>
    <row r="4" spans="1:1" x14ac:dyDescent="0.45">
      <c r="A4" t="s">
        <v>71</v>
      </c>
    </row>
    <row r="5" spans="1:1" x14ac:dyDescent="0.45">
      <c r="A5" t="s">
        <v>58</v>
      </c>
    </row>
    <row r="6" spans="1:1" x14ac:dyDescent="0.45">
      <c r="A6" t="s">
        <v>63</v>
      </c>
    </row>
    <row r="7" spans="1:1" x14ac:dyDescent="0.45">
      <c r="A7" t="s">
        <v>64</v>
      </c>
    </row>
    <row r="8" spans="1:1" x14ac:dyDescent="0.45">
      <c r="A8" t="s">
        <v>0</v>
      </c>
    </row>
    <row r="9" spans="1:1" x14ac:dyDescent="0.45">
      <c r="A9" t="s">
        <v>90</v>
      </c>
    </row>
    <row r="10" spans="1:1" x14ac:dyDescent="0.45">
      <c r="A10" t="s">
        <v>61</v>
      </c>
    </row>
    <row r="11" spans="1:1" x14ac:dyDescent="0.45">
      <c r="A11" t="s">
        <v>65</v>
      </c>
    </row>
    <row r="12" spans="1:1" x14ac:dyDescent="0.45">
      <c r="A12" t="s">
        <v>0</v>
      </c>
    </row>
    <row r="13" spans="1:1" x14ac:dyDescent="0.45">
      <c r="A13" t="s">
        <v>60</v>
      </c>
    </row>
    <row r="14" spans="1:1" x14ac:dyDescent="0.45">
      <c r="A14" t="s">
        <v>66</v>
      </c>
    </row>
    <row r="15" spans="1:1" x14ac:dyDescent="0.45">
      <c r="A15" t="s">
        <v>67</v>
      </c>
    </row>
    <row r="16" spans="1:1" x14ac:dyDescent="0.45">
      <c r="A16" t="s">
        <v>49</v>
      </c>
    </row>
    <row r="17" spans="1:1" x14ac:dyDescent="0.45">
      <c r="A17" t="s">
        <v>68</v>
      </c>
    </row>
    <row r="18" spans="1:1" x14ac:dyDescent="0.45">
      <c r="A18" t="s">
        <v>72</v>
      </c>
    </row>
    <row r="19" spans="1:1" x14ac:dyDescent="0.45">
      <c r="A19" t="s">
        <v>70</v>
      </c>
    </row>
    <row r="20" spans="1:1" x14ac:dyDescent="0.45">
      <c r="A20" t="s">
        <v>57</v>
      </c>
    </row>
    <row r="21" spans="1:1" x14ac:dyDescent="0.45">
      <c r="A21" t="s">
        <v>69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8"/>
  <sheetViews>
    <sheetView workbookViewId="0">
      <selection activeCell="E26" sqref="E26"/>
    </sheetView>
  </sheetViews>
  <sheetFormatPr defaultRowHeight="14.25" x14ac:dyDescent="0.45"/>
  <cols>
    <col min="1" max="1" width="17.265625" customWidth="1"/>
  </cols>
  <sheetData>
    <row r="1" spans="1:1" x14ac:dyDescent="0.45">
      <c r="A1" t="s">
        <v>44</v>
      </c>
    </row>
    <row r="2" spans="1:1" x14ac:dyDescent="0.45">
      <c r="A2" t="s">
        <v>45</v>
      </c>
    </row>
    <row r="3" spans="1:1" x14ac:dyDescent="0.45">
      <c r="A3" t="s">
        <v>87</v>
      </c>
    </row>
    <row r="4" spans="1:1" x14ac:dyDescent="0.45">
      <c r="A4" t="s">
        <v>46</v>
      </c>
    </row>
    <row r="5" spans="1:1" x14ac:dyDescent="0.45">
      <c r="A5" t="s">
        <v>48</v>
      </c>
    </row>
    <row r="6" spans="1:1" x14ac:dyDescent="0.45">
      <c r="A6" t="s">
        <v>58</v>
      </c>
    </row>
    <row r="7" spans="1:1" x14ac:dyDescent="0.45">
      <c r="A7" t="s">
        <v>53</v>
      </c>
    </row>
    <row r="8" spans="1:1" x14ac:dyDescent="0.45">
      <c r="A8" t="s">
        <v>51</v>
      </c>
    </row>
    <row r="9" spans="1:1" x14ac:dyDescent="0.45">
      <c r="A9" t="s">
        <v>52</v>
      </c>
    </row>
    <row r="10" spans="1:1" x14ac:dyDescent="0.45">
      <c r="A10" t="s">
        <v>0</v>
      </c>
    </row>
    <row r="11" spans="1:1" x14ac:dyDescent="0.45">
      <c r="A11" t="s">
        <v>88</v>
      </c>
    </row>
    <row r="12" spans="1:1" x14ac:dyDescent="0.45">
      <c r="A12" t="s">
        <v>54</v>
      </c>
    </row>
    <row r="13" spans="1:1" x14ac:dyDescent="0.45">
      <c r="A13" t="s">
        <v>55</v>
      </c>
    </row>
    <row r="14" spans="1:1" x14ac:dyDescent="0.45">
      <c r="A14" t="s">
        <v>49</v>
      </c>
    </row>
    <row r="15" spans="1:1" x14ac:dyDescent="0.45">
      <c r="A15" t="s">
        <v>50</v>
      </c>
    </row>
    <row r="16" spans="1:1" x14ac:dyDescent="0.45">
      <c r="A16" t="s">
        <v>47</v>
      </c>
    </row>
    <row r="17" spans="1:1" x14ac:dyDescent="0.45">
      <c r="A17" t="s">
        <v>56</v>
      </c>
    </row>
    <row r="18" spans="1:1" x14ac:dyDescent="0.45">
      <c r="A18" t="s">
        <v>57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
  <sheetViews>
    <sheetView workbookViewId="0">
      <selection activeCell="A8" sqref="A8:A11"/>
    </sheetView>
  </sheetViews>
  <sheetFormatPr defaultRowHeight="14.25" x14ac:dyDescent="0.45"/>
  <sheetData>
    <row r="1" spans="1:13" x14ac:dyDescent="0.45">
      <c r="A1" t="s">
        <v>74</v>
      </c>
    </row>
    <row r="2" spans="1:13" x14ac:dyDescent="0.45">
      <c r="A2" t="s">
        <v>45</v>
      </c>
      <c r="L2" t="s">
        <v>77</v>
      </c>
    </row>
    <row r="3" spans="1:13" x14ac:dyDescent="0.45">
      <c r="A3" t="str">
        <f>"clus_num = " &amp;(L3+1)</f>
        <v>clus_num = 3</v>
      </c>
      <c r="L3">
        <v>2</v>
      </c>
      <c r="M3">
        <v>2</v>
      </c>
    </row>
    <row r="4" spans="1:13" x14ac:dyDescent="0.45">
      <c r="A4" t="s">
        <v>71</v>
      </c>
      <c r="M4">
        <v>3</v>
      </c>
    </row>
    <row r="5" spans="1:13" x14ac:dyDescent="0.45">
      <c r="A5" t="s">
        <v>78</v>
      </c>
      <c r="M5">
        <v>4</v>
      </c>
    </row>
    <row r="6" spans="1:13" x14ac:dyDescent="0.45">
      <c r="A6" t="s">
        <v>83</v>
      </c>
      <c r="M6">
        <v>5</v>
      </c>
    </row>
    <row r="7" spans="1:13" x14ac:dyDescent="0.45">
      <c r="A7" t="s">
        <v>79</v>
      </c>
      <c r="M7">
        <v>6</v>
      </c>
    </row>
    <row r="8" spans="1:13" x14ac:dyDescent="0.45">
      <c r="A8" t="s">
        <v>58</v>
      </c>
      <c r="M8">
        <v>7</v>
      </c>
    </row>
    <row r="9" spans="1:13" x14ac:dyDescent="0.45">
      <c r="A9" t="s">
        <v>80</v>
      </c>
      <c r="M9">
        <v>8</v>
      </c>
    </row>
    <row r="10" spans="1:13" x14ac:dyDescent="0.45">
      <c r="A10" t="s">
        <v>64</v>
      </c>
      <c r="M10">
        <v>9</v>
      </c>
    </row>
    <row r="11" spans="1:13" x14ac:dyDescent="0.45">
      <c r="A11" t="s">
        <v>0</v>
      </c>
      <c r="M11">
        <v>10</v>
      </c>
    </row>
    <row r="12" spans="1:13" x14ac:dyDescent="0.45">
      <c r="A12" t="s">
        <v>82</v>
      </c>
      <c r="M12">
        <v>11</v>
      </c>
    </row>
    <row r="13" spans="1:13" x14ac:dyDescent="0.45">
      <c r="A13" t="s">
        <v>85</v>
      </c>
    </row>
    <row r="14" spans="1:13" x14ac:dyDescent="0.45">
      <c r="A14" t="s">
        <v>49</v>
      </c>
    </row>
    <row r="15" spans="1:13" x14ac:dyDescent="0.45">
      <c r="A15" t="s">
        <v>76</v>
      </c>
    </row>
    <row r="16" spans="1:13" x14ac:dyDescent="0.45">
      <c r="A16" t="s">
        <v>75</v>
      </c>
    </row>
    <row r="17" spans="1:1" x14ac:dyDescent="0.45">
      <c r="A17" t="s">
        <v>84</v>
      </c>
    </row>
    <row r="18" spans="1:1" x14ac:dyDescent="0.45">
      <c r="A18" t="s">
        <v>89</v>
      </c>
    </row>
    <row r="19" spans="1:1" x14ac:dyDescent="0.45">
      <c r="A19" t="s">
        <v>81</v>
      </c>
    </row>
    <row r="20" spans="1:1" x14ac:dyDescent="0.45">
      <c r="A20" t="s">
        <v>86</v>
      </c>
    </row>
    <row r="21" spans="1:1" x14ac:dyDescent="0.45">
      <c r="A21" t="s">
        <v>57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Data</vt:lpstr>
      <vt:lpstr>formula_example</vt:lpstr>
      <vt:lpstr>formula_graph_example</vt:lpstr>
      <vt:lpstr>code_summary</vt:lpstr>
      <vt:lpstr>code_regression</vt:lpstr>
      <vt:lpstr>code_clustering</vt:lpstr>
      <vt:lpstr>code_clustering</vt:lpstr>
      <vt:lpstr>code_regression</vt:lpstr>
      <vt:lpstr>code_summary</vt:lpstr>
      <vt:lpstr>formula_graph_example!current_plot</vt:lpstr>
      <vt:lpstr>formula_graph_example!plots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Demin</dc:creator>
  <cp:lastModifiedBy>Gregory Demin</cp:lastModifiedBy>
  <dcterms:created xsi:type="dcterms:W3CDTF">2012-05-17T13:15:30Z</dcterms:created>
  <dcterms:modified xsi:type="dcterms:W3CDTF">2015-07-13T15:54:01Z</dcterms:modified>
</cp:coreProperties>
</file>